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b88bd7b39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gration Report" sheetId="1" r:id="Ra082872d994e4899"/>
    <x:sheet xmlns:r="http://schemas.openxmlformats.org/officeDocument/2006/relationships" name="Channel SKU Mapping" sheetId="2" r:id="R0350b03b5caa464d"/>
    <x:sheet xmlns:r="http://schemas.openxmlformats.org/officeDocument/2006/relationships" name="BOM Extraction" sheetId="3" r:id="Re1eb19b15fdd4e83"/>
    <x:sheet xmlns:r="http://schemas.openxmlformats.org/officeDocument/2006/relationships" name="Procurement Settings" sheetId="4" r:id="Rbe7c95af04d34616"/>
    <x:sheet xmlns:r="http://schemas.openxmlformats.org/officeDocument/2006/relationships" name="Compatibility" sheetId="5" r:id="Rb536e545f2924dfc"/>
    <x:sheet xmlns:r="http://schemas.openxmlformats.org/officeDocument/2006/relationships" name="Assumptions" sheetId="6" r:id="R3c59f0172568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"/>
    <x:numFmt numFmtId="201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2313F"/>
      <x:name val="Carlito"/>
    </x:font>
    <x:font>
      <x:b/>
      <x:sz val="11"/>
      <x:color rgb="FFFFFFFF"/>
      <x:name val="Carlito"/>
    </x:font>
    <x:font>
      <x:b/>
      <x:sz val="11"/>
      <x:color rgb="FF7A4E00"/>
      <x:name val="Carlito"/>
    </x:font>
    <x:font>
      <x:b/>
      <x:sz val="11"/>
      <x:color rgb="FF9C1C1C"/>
      <x:name val="Carlito"/>
    </x:font>
    <x:font>
      <x:b/>
      <x:sz val="11"/>
      <x:color rgb="FF176B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374AB"/>
      </x:patternFill>
    </x:fill>
    <x:fill>
      <x:patternFill patternType="solid">
        <x:fgColor rgb="FFFFF4CE"/>
      </x:patternFill>
    </x:fill>
    <x:fill>
      <x:patternFill patternType="solid">
        <x:fgColor rgb="FFFDECEC"/>
      </x:patternFill>
    </x:fill>
    <x:fill>
      <x:patternFill patternType="solid">
        <x:fgColor rgb="FFE8F5E9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057eb14bd4dd2" /><Relationship Type="http://schemas.openxmlformats.org/officeDocument/2006/relationships/theme" Target="/xl/theme/theme1.xml" Id="R9bf0264045314c42" /><Relationship Type="http://schemas.microsoft.com/office/2022/11/relationships/FeaturePropertyBag" Target="/xl/featurePropertyBag/featurePropertyBag.xml" Id="R4ccf49dcb4a94007" /><Relationship Type="http://schemas.openxmlformats.org/officeDocument/2006/relationships/sharedStrings" Target="/xl/sharedStrings.xml" Id="R4846d751c325408d" /><Relationship Type="http://schemas.openxmlformats.org/officeDocument/2006/relationships/worksheet" Target="/xl/worksheets/sheet1.xml" Id="Ra082872d994e4899" /><Relationship Type="http://schemas.openxmlformats.org/officeDocument/2006/relationships/worksheet" Target="/xl/worksheets/sheet2.xml" Id="R0350b03b5caa464d" /><Relationship Type="http://schemas.openxmlformats.org/officeDocument/2006/relationships/worksheet" Target="/xl/worksheets/sheet3.xml" Id="Re1eb19b15fdd4e83" /><Relationship Type="http://schemas.openxmlformats.org/officeDocument/2006/relationships/worksheet" Target="/xl/worksheets/sheet4.xml" Id="Rbe7c95af04d34616" /><Relationship Type="http://schemas.openxmlformats.org/officeDocument/2006/relationships/worksheet" Target="/xl/worksheets/sheet5.xml" Id="Rb536e545f2924dfc" /><Relationship Type="http://schemas.openxmlformats.org/officeDocument/2006/relationships/worksheet" Target="/xl/worksheets/sheet6.xml" Id="R3c59f017256846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1" hidden="0" customWidth="1"/>
    <x:col min="4" max="4" width="15" hidden="0" customWidth="1"/>
    <x:col min="5" max="5" width="18" hidden="0" customWidth="1"/>
    <x:col min="6" max="6" width="14" hidden="0" customWidth="1"/>
    <x:col min="7" max="7" width="18" hidden="0" customWidth="1"/>
    <x:col min="8" max="8" width="24" hidden="0" customWidth="1"/>
    <x:col min="9" max="9" width="38" hidden="0" customWidth="1"/>
  </x:cols>
  <x:sheetData>
    <x:row r="1" ht="28" customHeight="1">
      <x:c r="A1" s="14" t="str">
        <x:v>COSMOS Procurement Planning — Workbook Migration Report</x:v>
      </x:c>
      <x:c r="B1" s="15"/>
      <x:c r="C1" s="15"/>
      <x:c r="D1" s="15"/>
      <x:c r="E1" s="15"/>
      <x:c r="F1" s="15"/>
      <x:c r="G1" s="15"/>
      <x:c r="H1" s="15"/>
      <x:c r="I1" s="15"/>
    </x:row>
    <x:row r="2" ht="30" customHeight="1">
      <x:c r="A2" s="16" t="str">
        <x:v>Source: Copy of PROCURMENT SCHEDULING.xlsx. Staging match performed 2026-07-15. No Items are created by this report.</x:v>
      </x:c>
      <x:c r="B2" s="15"/>
      <x:c r="C2" s="15"/>
      <x:c r="D2" s="15"/>
      <x:c r="E2" s="15"/>
      <x:c r="F2" s="15"/>
      <x:c r="G2" s="15"/>
      <x:c r="H2" s="15"/>
      <x:c r="I2" s="15"/>
    </x:row>
    <x:row r="3" ht="24" customHeight="1">
      <x:c r="A3" s="17" t="str">
        <x:v>Source Type</x:v>
      </x:c>
      <x:c r="B3" s="17" t="str">
        <x:v>Workbook Name</x:v>
      </x:c>
      <x:c r="C3" s="17" t="str">
        <x:v>Proposed Classification</x:v>
      </x:c>
      <x:c r="D3" s="17" t="str">
        <x:v>Proposed Code</x:v>
      </x:c>
      <x:c r="E3" s="17" t="str">
        <x:v>Staging ERP Item</x:v>
      </x:c>
      <x:c r="F3" s="17" t="str">
        <x:v>Match Status</x:v>
      </x:c>
      <x:c r="G3" s="17" t="str">
        <x:v>Source Location</x:v>
      </x:c>
      <x:c r="H3" s="17" t="str">
        <x:v>Migration Action</x:v>
      </x:c>
      <x:c r="I3" s="17" t="str">
        <x:v>Notes</x:v>
      </x:c>
    </x:row>
    <x:row r="4" ht="30" customHeight="1">
      <x:c r="A4" s="15" t="str">
        <x:v>Finished product</x:v>
      </x:c>
      <x:c r="B4" s="15" t="str">
        <x:v>BLACK ULTIMATE HANGER 20</x:v>
      </x:c>
      <x:c r="C4" s="15" t="str">
        <x:v>Finished Product</x:v>
      </x:c>
      <x:c r="D4" s="15" t="str">
        <x:v>WB-FP-001</x:v>
      </x:c>
      <x:c r="E4" s="15"/>
      <x:c r="F4" s="18" t="str">
        <x:v>Unmatched</x:v>
      </x:c>
      <x:c r="G4" s="15" t="str">
        <x:v>30 DAYSALE!A2</x:v>
      </x:c>
      <x:c r="H4" s="15" t="str">
        <x:v>Create or map explicitly</x:v>
      </x:c>
      <x:c r="I4" s="15" t="str">
        <x:v>Workbook contains product names, not channel SKUs</x:v>
      </x:c>
    </x:row>
    <x:row r="5" ht="30" customHeight="1">
      <x:c r="A5" s="15" t="str">
        <x:v>Finished product</x:v>
      </x:c>
      <x:c r="B5" s="15" t="str">
        <x:v>BLACK ULTIMATE HANGER 25</x:v>
      </x:c>
      <x:c r="C5" s="15" t="str">
        <x:v>Finished Product</x:v>
      </x:c>
      <x:c r="D5" s="15" t="str">
        <x:v>WB-FP-002</x:v>
      </x:c>
      <x:c r="E5" s="15"/>
      <x:c r="F5" s="18" t="str">
        <x:v>Unmatched</x:v>
      </x:c>
      <x:c r="G5" s="15" t="str">
        <x:v>30 DAYSALE!A3</x:v>
      </x:c>
      <x:c r="H5" s="15" t="str">
        <x:v>Create or map explicitly</x:v>
      </x:c>
      <x:c r="I5" s="15" t="str">
        <x:v>Workbook contains product names, not channel SKUs</x:v>
      </x:c>
    </x:row>
    <x:row r="6" ht="30" customHeight="1">
      <x:c r="A6" s="15" t="str">
        <x:v>Finished product</x:v>
      </x:c>
      <x:c r="B6" s="15" t="str">
        <x:v>BLACK ULTIMATE HANGER 40</x:v>
      </x:c>
      <x:c r="C6" s="15" t="str">
        <x:v>Finished Product</x:v>
      </x:c>
      <x:c r="D6" s="15" t="str">
        <x:v>WB-FP-003</x:v>
      </x:c>
      <x:c r="E6" s="15"/>
      <x:c r="F6" s="18" t="str">
        <x:v>Unmatched</x:v>
      </x:c>
      <x:c r="G6" s="15" t="str">
        <x:v>30 DAYSALE!A4</x:v>
      </x:c>
      <x:c r="H6" s="15" t="str">
        <x:v>Create or map explicitly</x:v>
      </x:c>
      <x:c r="I6" s="15" t="str">
        <x:v>Workbook contains product names, not channel SKUs</x:v>
      </x:c>
    </x:row>
    <x:row r="7" ht="30" customHeight="1">
      <x:c r="A7" s="15" t="str">
        <x:v>Finished product</x:v>
      </x:c>
      <x:c r="B7" s="15" t="str">
        <x:v>FLEXI-16</x:v>
      </x:c>
      <x:c r="C7" s="15" t="str">
        <x:v>Finished Product</x:v>
      </x:c>
      <x:c r="D7" s="15" t="str">
        <x:v>WB-FP-004</x:v>
      </x:c>
      <x:c r="E7" s="15"/>
      <x:c r="F7" s="18" t="str">
        <x:v>Unmatched</x:v>
      </x:c>
      <x:c r="G7" s="15" t="str">
        <x:v>30 DAYSALE!A5</x:v>
      </x:c>
      <x:c r="H7" s="15" t="str">
        <x:v>Create or map explicitly</x:v>
      </x:c>
      <x:c r="I7" s="15" t="str">
        <x:v>Workbook contains product names, not channel SKUs</x:v>
      </x:c>
    </x:row>
    <x:row r="8" ht="30" customHeight="1">
      <x:c r="A8" s="15" t="str">
        <x:v>Finished product</x:v>
      </x:c>
      <x:c r="B8" s="15" t="str">
        <x:v>DELUX CLIP 24 WITH DELUX BOX</x:v>
      </x:c>
      <x:c r="C8" s="15" t="str">
        <x:v>Finished Product</x:v>
      </x:c>
      <x:c r="D8" s="15" t="str">
        <x:v>WB-FP-005</x:v>
      </x:c>
      <x:c r="E8" s="15"/>
      <x:c r="F8" s="18" t="str">
        <x:v>Unmatched</x:v>
      </x:c>
      <x:c r="G8" s="15" t="str">
        <x:v>30 DAYSALE!A6</x:v>
      </x:c>
      <x:c r="H8" s="15" t="str">
        <x:v>Create or map explicitly</x:v>
      </x:c>
      <x:c r="I8" s="15" t="str">
        <x:v>Workbook contains product names, not channel SKUs</x:v>
      </x:c>
    </x:row>
    <x:row r="9" ht="30" customHeight="1">
      <x:c r="A9" s="15" t="str">
        <x:v>Finished product</x:v>
      </x:c>
      <x:c r="B9" s="15" t="str">
        <x:v>DELUX CLIP 48 WITH DELUX BOX</x:v>
      </x:c>
      <x:c r="C9" s="15" t="str">
        <x:v>Finished Product</x:v>
      </x:c>
      <x:c r="D9" s="15" t="str">
        <x:v>WB-FP-006</x:v>
      </x:c>
      <x:c r="E9" s="15"/>
      <x:c r="F9" s="18" t="str">
        <x:v>Unmatched</x:v>
      </x:c>
      <x:c r="G9" s="15" t="str">
        <x:v>30 DAYSALE!A7</x:v>
      </x:c>
      <x:c r="H9" s="15" t="str">
        <x:v>Create or map explicitly</x:v>
      </x:c>
      <x:c r="I9" s="15" t="str">
        <x:v>Workbook contains product names, not channel SKUs</x:v>
      </x:c>
    </x:row>
    <x:row r="10" ht="30" customHeight="1">
      <x:c r="A10" s="15" t="str">
        <x:v>Finished product</x:v>
      </x:c>
      <x:c r="B10" s="15" t="str">
        <x:v>DELUX SQUARE 25 CLIP HANGER</x:v>
      </x:c>
      <x:c r="C10" s="15" t="str">
        <x:v>Finished Product</x:v>
      </x:c>
      <x:c r="D10" s="15" t="str">
        <x:v>WB-FP-007</x:v>
      </x:c>
      <x:c r="E10" s="15"/>
      <x:c r="F10" s="18" t="str">
        <x:v>Unmatched</x:v>
      </x:c>
      <x:c r="G10" s="15" t="str">
        <x:v>30 DAYSALE!A8</x:v>
      </x:c>
      <x:c r="H10" s="15" t="str">
        <x:v>Create or map explicitly</x:v>
      </x:c>
      <x:c r="I10" s="15" t="str">
        <x:v>Workbook contains product names, not channel SKUs</x:v>
      </x:c>
    </x:row>
    <x:row r="11" ht="30" customHeight="1">
      <x:c r="A11" s="15" t="str">
        <x:v>Finished product</x:v>
      </x:c>
      <x:c r="B11" s="15" t="str">
        <x:v>GREY ULTIMATE HANGER 20</x:v>
      </x:c>
      <x:c r="C11" s="15" t="str">
        <x:v>Finished Product</x:v>
      </x:c>
      <x:c r="D11" s="15" t="str">
        <x:v>WB-FP-008</x:v>
      </x:c>
      <x:c r="E11" s="15"/>
      <x:c r="F11" s="18" t="str">
        <x:v>Unmatched</x:v>
      </x:c>
      <x:c r="G11" s="15" t="str">
        <x:v>30 DAYSALE!A9</x:v>
      </x:c>
      <x:c r="H11" s="15" t="str">
        <x:v>Create or map explicitly</x:v>
      </x:c>
      <x:c r="I11" s="15" t="str">
        <x:v>Workbook contains product names, not channel SKUs</x:v>
      </x:c>
    </x:row>
    <x:row r="12" ht="30" customHeight="1">
      <x:c r="A12" s="15" t="str">
        <x:v>Finished product</x:v>
      </x:c>
      <x:c r="B12" s="15" t="str">
        <x:v>MULTICOLOR HANGER 20</x:v>
      </x:c>
      <x:c r="C12" s="15" t="str">
        <x:v>Finished Product</x:v>
      </x:c>
      <x:c r="D12" s="15" t="str">
        <x:v>WB-FP-009</x:v>
      </x:c>
      <x:c r="E12" s="15"/>
      <x:c r="F12" s="18" t="str">
        <x:v>Unmatched</x:v>
      </x:c>
      <x:c r="G12" s="15" t="str">
        <x:v>30 DAYSALE!A10</x:v>
      </x:c>
      <x:c r="H12" s="15" t="str">
        <x:v>Create or map explicitly</x:v>
      </x:c>
      <x:c r="I12" s="15" t="str">
        <x:v>Workbook contains product names, not channel SKUs</x:v>
      </x:c>
    </x:row>
    <x:row r="13" ht="30" customHeight="1">
      <x:c r="A13" s="15" t="str">
        <x:v>Finished product</x:v>
      </x:c>
      <x:c r="B13" s="15" t="str">
        <x:v>ORA 20 WITH STORAGE BOX</x:v>
      </x:c>
      <x:c r="C13" s="15" t="str">
        <x:v>Finished Product</x:v>
      </x:c>
      <x:c r="D13" s="15" t="str">
        <x:v>WB-FP-010</x:v>
      </x:c>
      <x:c r="E13" s="15"/>
      <x:c r="F13" s="18" t="str">
        <x:v>Unmatched</x:v>
      </x:c>
      <x:c r="G13" s="15" t="str">
        <x:v>30 DAYSALE!A11</x:v>
      </x:c>
      <x:c r="H13" s="15" t="str">
        <x:v>Create or map explicitly</x:v>
      </x:c>
      <x:c r="I13" s="15" t="str">
        <x:v>Workbook contains product names, not channel SKUs</x:v>
      </x:c>
    </x:row>
    <x:row r="14" ht="30" customHeight="1">
      <x:c r="A14" s="15" t="str">
        <x:v>Finished product</x:v>
      </x:c>
      <x:c r="B14" s="15" t="str">
        <x:v>ORA 36 WITH STORAGE BOX</x:v>
      </x:c>
      <x:c r="C14" s="15" t="str">
        <x:v>Finished Product</x:v>
      </x:c>
      <x:c r="D14" s="15" t="str">
        <x:v>WB-FP-011</x:v>
      </x:c>
      <x:c r="E14" s="15"/>
      <x:c r="F14" s="18" t="str">
        <x:v>Unmatched</x:v>
      </x:c>
      <x:c r="G14" s="15" t="str">
        <x:v>30 DAYSALE!A12</x:v>
      </x:c>
      <x:c r="H14" s="15" t="str">
        <x:v>Create or map explicitly</x:v>
      </x:c>
      <x:c r="I14" s="15" t="str">
        <x:v>Workbook contains product names, not channel SKUs</x:v>
      </x:c>
    </x:row>
    <x:row r="15" ht="30" customHeight="1">
      <x:c r="A15" s="15" t="str">
        <x:v>Finished product</x:v>
      </x:c>
      <x:c r="B15" s="15" t="str">
        <x:v>OREO CLIP 36 WITH STORAGE BOX</x:v>
      </x:c>
      <x:c r="C15" s="15" t="str">
        <x:v>Finished Product</x:v>
      </x:c>
      <x:c r="D15" s="15" t="str">
        <x:v>WB-FP-012</x:v>
      </x:c>
      <x:c r="E15" s="15"/>
      <x:c r="F15" s="18" t="str">
        <x:v>Unmatched</x:v>
      </x:c>
      <x:c r="G15" s="15" t="str">
        <x:v>30 DAYSALE!A13</x:v>
      </x:c>
      <x:c r="H15" s="15" t="str">
        <x:v>Create or map explicitly</x:v>
      </x:c>
      <x:c r="I15" s="15" t="str">
        <x:v>Workbook contains product names, not channel SKUs</x:v>
      </x:c>
    </x:row>
    <x:row r="16" ht="30" customHeight="1">
      <x:c r="A16" s="15" t="str">
        <x:v>Finished product</x:v>
      </x:c>
      <x:c r="B16" s="15" t="str">
        <x:v>OREO CLIP 60 WITH STORAGE BOX</x:v>
      </x:c>
      <x:c r="C16" s="15" t="str">
        <x:v>Finished Product</x:v>
      </x:c>
      <x:c r="D16" s="15" t="str">
        <x:v>WB-FP-013</x:v>
      </x:c>
      <x:c r="E16" s="15"/>
      <x:c r="F16" s="18" t="str">
        <x:v>Unmatched</x:v>
      </x:c>
      <x:c r="G16" s="15" t="str">
        <x:v>30 DAYSALE!A14</x:v>
      </x:c>
      <x:c r="H16" s="15" t="str">
        <x:v>Create or map explicitly</x:v>
      </x:c>
      <x:c r="I16" s="15" t="str">
        <x:v>Workbook contains product names, not channel SKUs</x:v>
      </x:c>
    </x:row>
    <x:row r="17" ht="30" customHeight="1">
      <x:c r="A17" s="15" t="str">
        <x:v>Finished product</x:v>
      </x:c>
      <x:c r="B17" s="15" t="str">
        <x:v>OREO SPIN HANGER</x:v>
      </x:c>
      <x:c r="C17" s="15" t="str">
        <x:v>Finished Product</x:v>
      </x:c>
      <x:c r="D17" s="15" t="str">
        <x:v>WB-FP-014</x:v>
      </x:c>
      <x:c r="E17" s="15"/>
      <x:c r="F17" s="18" t="str">
        <x:v>Unmatched</x:v>
      </x:c>
      <x:c r="G17" s="15" t="str">
        <x:v>30 DAYSALE!A15</x:v>
      </x:c>
      <x:c r="H17" s="15" t="str">
        <x:v>Create or map explicitly</x:v>
      </x:c>
      <x:c r="I17" s="15" t="str">
        <x:v>Workbook contains product names, not channel SKUs</x:v>
      </x:c>
    </x:row>
    <x:row r="18" ht="30" customHeight="1">
      <x:c r="A18" s="15" t="str">
        <x:v>Finished product</x:v>
      </x:c>
      <x:c r="B18" s="15" t="str">
        <x:v>OREO SQUARE 25 CLIP HANGER</x:v>
      </x:c>
      <x:c r="C18" s="15" t="str">
        <x:v>Finished Product</x:v>
      </x:c>
      <x:c r="D18" s="15" t="str">
        <x:v>WB-FP-015</x:v>
      </x:c>
      <x:c r="E18" s="15"/>
      <x:c r="F18" s="18" t="str">
        <x:v>Unmatched</x:v>
      </x:c>
      <x:c r="G18" s="15" t="str">
        <x:v>30 DAYSALE!A16</x:v>
      </x:c>
      <x:c r="H18" s="15" t="str">
        <x:v>Create or map explicitly</x:v>
      </x:c>
      <x:c r="I18" s="15" t="str">
        <x:v>Workbook contains product names, not channel SKUs</x:v>
      </x:c>
    </x:row>
    <x:row r="19" ht="30" customHeight="1">
      <x:c r="A19" s="15" t="str">
        <x:v>Finished product</x:v>
      </x:c>
      <x:c r="B19" s="15" t="str">
        <x:v>RAINBOW 40 WITH DELUX STORAGE BOX</x:v>
      </x:c>
      <x:c r="C19" s="15" t="str">
        <x:v>Finished Product</x:v>
      </x:c>
      <x:c r="D19" s="15" t="str">
        <x:v>WB-FP-016</x:v>
      </x:c>
      <x:c r="E19" s="15"/>
      <x:c r="F19" s="18" t="str">
        <x:v>Unmatched</x:v>
      </x:c>
      <x:c r="G19" s="15" t="str">
        <x:v>30 DAYSALE!A17</x:v>
      </x:c>
      <x:c r="H19" s="15" t="str">
        <x:v>Create or map explicitly</x:v>
      </x:c>
      <x:c r="I19" s="15" t="str">
        <x:v>Workbook contains product names, not channel SKUs</x:v>
      </x:c>
    </x:row>
    <x:row r="20" ht="30" customHeight="1">
      <x:c r="A20" s="15" t="str">
        <x:v>Finished product</x:v>
      </x:c>
      <x:c r="B20" s="15" t="str">
        <x:v>RAINBOWCLIP 36 WITH STORAGE BOX</x:v>
      </x:c>
      <x:c r="C20" s="15" t="str">
        <x:v>Finished Product</x:v>
      </x:c>
      <x:c r="D20" s="15" t="str">
        <x:v>WB-FP-017</x:v>
      </x:c>
      <x:c r="E20" s="15"/>
      <x:c r="F20" s="18" t="str">
        <x:v>Unmatched</x:v>
      </x:c>
      <x:c r="G20" s="15" t="str">
        <x:v>30 DAYSALE!A18</x:v>
      </x:c>
      <x:c r="H20" s="15" t="str">
        <x:v>Create or map explicitly</x:v>
      </x:c>
      <x:c r="I20" s="15" t="str">
        <x:v>Workbook contains product names, not channel SKUs</x:v>
      </x:c>
    </x:row>
    <x:row r="21" ht="30" customHeight="1">
      <x:c r="A21" s="15" t="str">
        <x:v>Finished product</x:v>
      </x:c>
      <x:c r="B21" s="15" t="str">
        <x:v>RAINBOWCLIP 60 WITH STORAGE BOX</x:v>
      </x:c>
      <x:c r="C21" s="15" t="str">
        <x:v>Finished Product</x:v>
      </x:c>
      <x:c r="D21" s="15" t="str">
        <x:v>WB-FP-018</x:v>
      </x:c>
      <x:c r="E21" s="15"/>
      <x:c r="F21" s="18" t="str">
        <x:v>Unmatched</x:v>
      </x:c>
      <x:c r="G21" s="15" t="str">
        <x:v>30 DAYSALE!A19</x:v>
      </x:c>
      <x:c r="H21" s="15" t="str">
        <x:v>Create or map explicitly</x:v>
      </x:c>
      <x:c r="I21" s="15" t="str">
        <x:v>Workbook contains product names, not channel SKUs</x:v>
      </x:c>
    </x:row>
    <x:row r="22" ht="30" customHeight="1">
      <x:c r="A22" s="15" t="str">
        <x:v>Finished product</x:v>
      </x:c>
      <x:c r="B22" s="15" t="str">
        <x:v>RYNO SUPER CLIP 18</x:v>
      </x:c>
      <x:c r="C22" s="15" t="str">
        <x:v>Finished Product</x:v>
      </x:c>
      <x:c r="D22" s="15" t="str">
        <x:v>WB-FP-019</x:v>
      </x:c>
      <x:c r="E22" s="15"/>
      <x:c r="F22" s="18" t="str">
        <x:v>Unmatched</x:v>
      </x:c>
      <x:c r="G22" s="15" t="str">
        <x:v>30 DAYSALE!A20</x:v>
      </x:c>
      <x:c r="H22" s="15" t="str">
        <x:v>Create or map explicitly</x:v>
      </x:c>
      <x:c r="I22" s="15" t="str">
        <x:v>Workbook contains product names, not channel SKUs</x:v>
      </x:c>
    </x:row>
    <x:row r="23" ht="30" customHeight="1">
      <x:c r="A23" s="15" t="str">
        <x:v>Finished product</x:v>
      </x:c>
      <x:c r="B23" s="15" t="str">
        <x:v>RYNO SUPER CLIP 24</x:v>
      </x:c>
      <x:c r="C23" s="15" t="str">
        <x:v>Finished Product</x:v>
      </x:c>
      <x:c r="D23" s="15" t="str">
        <x:v>WB-FP-020</x:v>
      </x:c>
      <x:c r="E23" s="15"/>
      <x:c r="F23" s="18" t="str">
        <x:v>Unmatched</x:v>
      </x:c>
      <x:c r="G23" s="15" t="str">
        <x:v>30 DAYSALE!A21</x:v>
      </x:c>
      <x:c r="H23" s="15" t="str">
        <x:v>Create or map explicitly</x:v>
      </x:c>
      <x:c r="I23" s="15" t="str">
        <x:v>Workbook contains product names, not channel SKUs</x:v>
      </x:c>
    </x:row>
    <x:row r="24" ht="30" customHeight="1">
      <x:c r="A24" s="15" t="str">
        <x:v>Finished product</x:v>
      </x:c>
      <x:c r="B24" s="15" t="str">
        <x:v>RYNO SUPER CLIP 48</x:v>
      </x:c>
      <x:c r="C24" s="15" t="str">
        <x:v>Finished Product</x:v>
      </x:c>
      <x:c r="D24" s="15" t="str">
        <x:v>WB-FP-021</x:v>
      </x:c>
      <x:c r="E24" s="15"/>
      <x:c r="F24" s="18" t="str">
        <x:v>Unmatched</x:v>
      </x:c>
      <x:c r="G24" s="15" t="str">
        <x:v>30 DAYSALE!A22</x:v>
      </x:c>
      <x:c r="H24" s="15" t="str">
        <x:v>Create or map explicitly</x:v>
      </x:c>
      <x:c r="I24" s="15" t="str">
        <x:v>Workbook contains product names, not channel SKUs</x:v>
      </x:c>
    </x:row>
    <x:row r="25" ht="30" customHeight="1">
      <x:c r="A25" s="15" t="str">
        <x:v>Finished product</x:v>
      </x:c>
      <x:c r="B25" s="15" t="str">
        <x:v>WHITE ULTIMATE HANGER 20</x:v>
      </x:c>
      <x:c r="C25" s="15" t="str">
        <x:v>Finished Product</x:v>
      </x:c>
      <x:c r="D25" s="15" t="str">
        <x:v>WB-FP-022</x:v>
      </x:c>
      <x:c r="E25" s="15"/>
      <x:c r="F25" s="18" t="str">
        <x:v>Unmatched</x:v>
      </x:c>
      <x:c r="G25" s="15" t="str">
        <x:v>30 DAYSALE!A23</x:v>
      </x:c>
      <x:c r="H25" s="15" t="str">
        <x:v>Create or map explicitly</x:v>
      </x:c>
      <x:c r="I25" s="15" t="str">
        <x:v>Workbook contains product names, not channel SKUs</x:v>
      </x:c>
    </x:row>
    <x:row r="26" ht="30" customHeight="1">
      <x:c r="A26" s="15" t="str">
        <x:v>Finished product</x:v>
      </x:c>
      <x:c r="B26" s="15" t="str">
        <x:v>WHITE-GREY ULTIMATE HANGER 20</x:v>
      </x:c>
      <x:c r="C26" s="15" t="str">
        <x:v>Finished Product</x:v>
      </x:c>
      <x:c r="D26" s="15" t="str">
        <x:v>WB-FP-023</x:v>
      </x:c>
      <x:c r="E26" s="15"/>
      <x:c r="F26" s="18" t="str">
        <x:v>Unmatched</x:v>
      </x:c>
      <x:c r="G26" s="15" t="str">
        <x:v>30 DAYSALE!A24</x:v>
      </x:c>
      <x:c r="H26" s="15" t="str">
        <x:v>Create or map explicitly</x:v>
      </x:c>
      <x:c r="I26" s="15" t="str">
        <x:v>Workbook contains product names, not channel SKUs</x:v>
      </x:c>
    </x:row>
    <x:row r="27" ht="30" customHeight="1">
      <x:c r="A27" s="15" t="str">
        <x:v>Finished product</x:v>
      </x:c>
      <x:c r="B27" s="15" t="str">
        <x:v>R-20</x:v>
      </x:c>
      <x:c r="C27" s="15" t="str">
        <x:v>Finished Product</x:v>
      </x:c>
      <x:c r="D27" s="15" t="str">
        <x:v>WB-FP-024</x:v>
      </x:c>
      <x:c r="E27" s="15"/>
      <x:c r="F27" s="18" t="str">
        <x:v>Unmatched</x:v>
      </x:c>
      <x:c r="G27" s="15" t="str">
        <x:v>30 DAYSALE!A25</x:v>
      </x:c>
      <x:c r="H27" s="15" t="str">
        <x:v>Create or map explicitly</x:v>
      </x:c>
      <x:c r="I27" s="15" t="str">
        <x:v>Workbook contains product names, not channel SKUs</x:v>
      </x:c>
    </x:row>
    <x:row r="28" ht="30" customHeight="1">
      <x:c r="A28" s="15" t="str">
        <x:v>Finished product</x:v>
      </x:c>
      <x:c r="B28" s="15" t="str">
        <x:v>MH-10</x:v>
      </x:c>
      <x:c r="C28" s="15" t="str">
        <x:v>Finished Product</x:v>
      </x:c>
      <x:c r="D28" s="15" t="str">
        <x:v>WB-FP-025</x:v>
      </x:c>
      <x:c r="E28" s="15"/>
      <x:c r="F28" s="18" t="str">
        <x:v>Unmatched</x:v>
      </x:c>
      <x:c r="G28" s="15" t="str">
        <x:v>30 DAYSALE!A26</x:v>
      </x:c>
      <x:c r="H28" s="15" t="str">
        <x:v>Create or map explicitly</x:v>
      </x:c>
      <x:c r="I28" s="15" t="str">
        <x:v>Workbook contains product names, not channel SKUs</x:v>
      </x:c>
    </x:row>
    <x:row r="29" ht="30" customHeight="1">
      <x:c r="A29" s="15" t="str">
        <x:v>Finished product</x:v>
      </x:c>
      <x:c r="B29" s="15" t="str">
        <x:v>BH-10</x:v>
      </x:c>
      <x:c r="C29" s="15" t="str">
        <x:v>Finished Product</x:v>
      </x:c>
      <x:c r="D29" s="15" t="str">
        <x:v>WB-FP-026</x:v>
      </x:c>
      <x:c r="E29" s="15"/>
      <x:c r="F29" s="18" t="str">
        <x:v>Unmatched</x:v>
      </x:c>
      <x:c r="G29" s="15" t="str">
        <x:v>30 DAYSALE!A27</x:v>
      </x:c>
      <x:c r="H29" s="15" t="str">
        <x:v>Create or map explicitly</x:v>
      </x:c>
      <x:c r="I29" s="15" t="str">
        <x:v>Workbook contains product names, not channel SKUs</x:v>
      </x:c>
    </x:row>
    <x:row r="30" ht="30" customHeight="1">
      <x:c r="A30" s="15" t="str">
        <x:v>Material/component</x:v>
      </x:c>
      <x:c r="B30" s="15" t="str">
        <x:v>RAINBOW YGP</x:v>
      </x:c>
      <x:c r="C30" s="15" t="str">
        <x:v>Raw Material / Component / Packing Material</x:v>
      </x:c>
      <x:c r="D30" s="15" t="str">
        <x:v>WB-MAT-001</x:v>
      </x:c>
      <x:c r="E30" s="15"/>
      <x:c r="F30" s="18" t="str">
        <x:v>Unmatched</x:v>
      </x:c>
      <x:c r="G30" s="15" t="str">
        <x:v>ADU!A3</x:v>
      </x:c>
      <x:c r="H30" s="15" t="str">
        <x:v>Create or map explicitly</x:v>
      </x:c>
      <x:c r="I30" s="15" t="str">
        <x:v>Automatic calculation candidate</x:v>
      </x:c>
    </x:row>
    <x:row r="31" ht="30" customHeight="1">
      <x:c r="A31" s="15" t="str">
        <x:v>Material/component</x:v>
      </x:c>
      <x:c r="B31" s="15" t="str">
        <x:v>RAINBOW ORANGE</x:v>
      </x:c>
      <x:c r="C31" s="15" t="str">
        <x:v>Raw Material / Component / Packing Material</x:v>
      </x:c>
      <x:c r="D31" s="15" t="str">
        <x:v>WB-MAT-002</x:v>
      </x:c>
      <x:c r="E31" s="15"/>
      <x:c r="F31" s="18" t="str">
        <x:v>Unmatched</x:v>
      </x:c>
      <x:c r="G31" s="15" t="str">
        <x:v>ADU!A4</x:v>
      </x:c>
      <x:c r="H31" s="15" t="str">
        <x:v>Create or map explicitly</x:v>
      </x:c>
      <x:c r="I31" s="15" t="str">
        <x:v>Automatic calculation candidate</x:v>
      </x:c>
    </x:row>
    <x:row r="32" ht="30" customHeight="1">
      <x:c r="A32" s="15" t="str">
        <x:v>Material/component</x:v>
      </x:c>
      <x:c r="B32" s="15" t="str">
        <x:v>RAINBOW BLUE</x:v>
      </x:c>
      <x:c r="C32" s="15" t="str">
        <x:v>Raw Material / Component / Packing Material</x:v>
      </x:c>
      <x:c r="D32" s="15" t="str">
        <x:v>WB-MAT-003</x:v>
      </x:c>
      <x:c r="E32" s="15"/>
      <x:c r="F32" s="18" t="str">
        <x:v>Unmatched</x:v>
      </x:c>
      <x:c r="G32" s="15" t="str">
        <x:v>ADU!A5</x:v>
      </x:c>
      <x:c r="H32" s="15" t="str">
        <x:v>Create or map explicitly</x:v>
      </x:c>
      <x:c r="I32" s="15" t="str">
        <x:v>Automatic calculation candidate</x:v>
      </x:c>
    </x:row>
    <x:row r="33" ht="30" customHeight="1">
      <x:c r="A33" s="15" t="str">
        <x:v>Material/component</x:v>
      </x:c>
      <x:c r="B33" s="15" t="str">
        <x:v>MH HANGER</x:v>
      </x:c>
      <x:c r="C33" s="15" t="str">
        <x:v>Raw Material / Component / Packing Material</x:v>
      </x:c>
      <x:c r="D33" s="15" t="str">
        <x:v>WB-MAT-004</x:v>
      </x:c>
      <x:c r="E33" s="15"/>
      <x:c r="F33" s="18" t="str">
        <x:v>Unmatched</x:v>
      </x:c>
      <x:c r="G33" s="15" t="str">
        <x:v>ADU!A6</x:v>
      </x:c>
      <x:c r="H33" s="15" t="str">
        <x:v>Create or map explicitly</x:v>
      </x:c>
      <x:c r="I33" s="15" t="str">
        <x:v>Automatic calculation candidate</x:v>
      </x:c>
    </x:row>
    <x:row r="34" ht="30" customHeight="1">
      <x:c r="A34" s="15" t="str">
        <x:v>Material/component</x:v>
      </x:c>
      <x:c r="B34" s="15" t="str">
        <x:v>BLACK HANGER</x:v>
      </x:c>
      <x:c r="C34" s="15" t="str">
        <x:v>Raw Material / Component / Packing Material</x:v>
      </x:c>
      <x:c r="D34" s="15" t="str">
        <x:v>WB-MAT-005</x:v>
      </x:c>
      <x:c r="E34" s="15"/>
      <x:c r="F34" s="18" t="str">
        <x:v>Unmatched</x:v>
      </x:c>
      <x:c r="G34" s="15" t="str">
        <x:v>ADU!A7</x:v>
      </x:c>
      <x:c r="H34" s="15" t="str">
        <x:v>Create or map explicitly</x:v>
      </x:c>
      <x:c r="I34" s="15" t="str">
        <x:v>Automatic calculation candidate</x:v>
      </x:c>
    </x:row>
    <x:row r="35" ht="30" customHeight="1">
      <x:c r="A35" s="15" t="str">
        <x:v>Material/component</x:v>
      </x:c>
      <x:c r="B35" s="15" t="str">
        <x:v>WHITE HANGER</x:v>
      </x:c>
      <x:c r="C35" s="15" t="str">
        <x:v>Raw Material / Component / Packing Material</x:v>
      </x:c>
      <x:c r="D35" s="15" t="str">
        <x:v>WB-MAT-006</x:v>
      </x:c>
      <x:c r="E35" s="15"/>
      <x:c r="F35" s="18" t="str">
        <x:v>Unmatched</x:v>
      </x:c>
      <x:c r="G35" s="15" t="str">
        <x:v>ADU!A8</x:v>
      </x:c>
      <x:c r="H35" s="15" t="str">
        <x:v>Create or map explicitly</x:v>
      </x:c>
      <x:c r="I35" s="15" t="str">
        <x:v>Automatic calculation candidate</x:v>
      </x:c>
    </x:row>
    <x:row r="36" ht="30" customHeight="1">
      <x:c r="A36" s="15" t="str">
        <x:v>Material/component</x:v>
      </x:c>
      <x:c r="B36" s="15" t="str">
        <x:v>GREY HANGER</x:v>
      </x:c>
      <x:c r="C36" s="15" t="str">
        <x:v>Raw Material / Component / Packing Material</x:v>
      </x:c>
      <x:c r="D36" s="15" t="str">
        <x:v>WB-MAT-007</x:v>
      </x:c>
      <x:c r="E36" s="15"/>
      <x:c r="F36" s="18" t="str">
        <x:v>Unmatched</x:v>
      </x:c>
      <x:c r="G36" s="15" t="str">
        <x:v>ADU!A9</x:v>
      </x:c>
      <x:c r="H36" s="15" t="str">
        <x:v>Create or map explicitly</x:v>
      </x:c>
      <x:c r="I36" s="15" t="str">
        <x:v>Automatic calculation candidate</x:v>
      </x:c>
    </x:row>
    <x:row r="37" ht="30" customHeight="1">
      <x:c r="A37" s="15" t="str">
        <x:v>Material/component</x:v>
      </x:c>
      <x:c r="B37" s="15" t="str">
        <x:v>FLEXI BLACK HANGER</x:v>
      </x:c>
      <x:c r="C37" s="15" t="str">
        <x:v>Raw Material / Component / Packing Material</x:v>
      </x:c>
      <x:c r="D37" s="15" t="str">
        <x:v>WB-MAT-008</x:v>
      </x:c>
      <x:c r="E37" s="15"/>
      <x:c r="F37" s="18" t="str">
        <x:v>Unmatched</x:v>
      </x:c>
      <x:c r="G37" s="15" t="str">
        <x:v>ADU!A10</x:v>
      </x:c>
      <x:c r="H37" s="15" t="str">
        <x:v>Create or map explicitly</x:v>
      </x:c>
      <x:c r="I37" s="15" t="str">
        <x:v>Automatic calculation candidate</x:v>
      </x:c>
    </x:row>
    <x:row r="38" ht="30" customHeight="1">
      <x:c r="A38" s="15" t="str">
        <x:v>Material/component</x:v>
      </x:c>
      <x:c r="B38" s="15" t="str">
        <x:v>RYNO CLIP</x:v>
      </x:c>
      <x:c r="C38" s="15" t="str">
        <x:v>Raw Material / Component / Packing Material</x:v>
      </x:c>
      <x:c r="D38" s="15" t="str">
        <x:v>WB-MAT-009</x:v>
      </x:c>
      <x:c r="E38" s="15"/>
      <x:c r="F38" s="18" t="str">
        <x:v>Unmatched</x:v>
      </x:c>
      <x:c r="G38" s="15" t="str">
        <x:v>ADU!A12</x:v>
      </x:c>
      <x:c r="H38" s="15" t="str">
        <x:v>Create or map explicitly</x:v>
      </x:c>
      <x:c r="I38" s="15" t="str">
        <x:v>Automatic calculation candidate</x:v>
      </x:c>
    </x:row>
    <x:row r="39" ht="30" customHeight="1">
      <x:c r="A39" s="15" t="str">
        <x:v>Material/component</x:v>
      </x:c>
      <x:c r="B39" s="15" t="str">
        <x:v>ORA CLIP</x:v>
      </x:c>
      <x:c r="C39" s="15" t="str">
        <x:v>Raw Material / Component / Packing Material</x:v>
      </x:c>
      <x:c r="D39" s="15" t="str">
        <x:v>WB-MAT-010</x:v>
      </x:c>
      <x:c r="E39" s="15"/>
      <x:c r="F39" s="18" t="str">
        <x:v>Unmatched</x:v>
      </x:c>
      <x:c r="G39" s="15" t="str">
        <x:v>ADU!A14</x:v>
      </x:c>
      <x:c r="H39" s="15" t="str">
        <x:v>Create or map explicitly</x:v>
      </x:c>
      <x:c r="I39" s="15" t="str">
        <x:v>Manual/configuration required</x:v>
      </x:c>
    </x:row>
    <x:row r="40" ht="30" customHeight="1">
      <x:c r="A40" s="15" t="str">
        <x:v>Material/component</x:v>
      </x:c>
      <x:c r="B40" s="15" t="str">
        <x:v>CELEBRATION CLIP</x:v>
      </x:c>
      <x:c r="C40" s="15" t="str">
        <x:v>Raw Material / Component / Packing Material</x:v>
      </x:c>
      <x:c r="D40" s="15" t="str">
        <x:v>WB-MAT-011</x:v>
      </x:c>
      <x:c r="E40" s="15"/>
      <x:c r="F40" s="18" t="str">
        <x:v>Unmatched</x:v>
      </x:c>
      <x:c r="G40" s="15" t="str">
        <x:v>ADU!A15</x:v>
      </x:c>
      <x:c r="H40" s="15" t="str">
        <x:v>Create or map explicitly</x:v>
      </x:c>
      <x:c r="I40" s="15" t="str">
        <x:v>Manual/configuration required</x:v>
      </x:c>
    </x:row>
    <x:row r="41" ht="30" customHeight="1">
      <x:c r="A41" s="15" t="str">
        <x:v>Material/component</x:v>
      </x:c>
      <x:c r="B41" s="15" t="str">
        <x:v>KEEPER 44</x:v>
      </x:c>
      <x:c r="C41" s="15" t="str">
        <x:v>Raw Material / Component / Packing Material</x:v>
      </x:c>
      <x:c r="D41" s="15" t="str">
        <x:v>WB-MAT-012</x:v>
      </x:c>
      <x:c r="E41" s="15"/>
      <x:c r="F41" s="18" t="str">
        <x:v>Unmatched</x:v>
      </x:c>
      <x:c r="G41" s="15" t="str">
        <x:v>ADU!A17</x:v>
      </x:c>
      <x:c r="H41" s="15" t="str">
        <x:v>Create or map explicitly</x:v>
      </x:c>
      <x:c r="I41" s="15" t="str">
        <x:v>Automatic calculation candidate</x:v>
      </x:c>
    </x:row>
    <x:row r="42" ht="30" customHeight="1">
      <x:c r="A42" s="15" t="str">
        <x:v>Material/component</x:v>
      </x:c>
      <x:c r="B42" s="15" t="str">
        <x:v>KEEPER 55</x:v>
      </x:c>
      <x:c r="C42" s="15" t="str">
        <x:v>Raw Material / Component / Packing Material</x:v>
      </x:c>
      <x:c r="D42" s="15" t="str">
        <x:v>WB-MAT-013</x:v>
      </x:c>
      <x:c r="E42" s="15"/>
      <x:c r="F42" s="18" t="str">
        <x:v>Unmatched</x:v>
      </x:c>
      <x:c r="G42" s="15" t="str">
        <x:v>ADU!A18</x:v>
      </x:c>
      <x:c r="H42" s="15" t="str">
        <x:v>Create or map explicitly</x:v>
      </x:c>
      <x:c r="I42" s="15" t="str">
        <x:v>Automatic calculation candidate</x:v>
      </x:c>
    </x:row>
    <x:row r="43" ht="30" customHeight="1">
      <x:c r="A43" s="15" t="str">
        <x:v>Material/component</x:v>
      </x:c>
      <x:c r="B43" s="15" t="str">
        <x:v>KEEPER 66</x:v>
      </x:c>
      <x:c r="C43" s="15" t="str">
        <x:v>Raw Material / Component / Packing Material</x:v>
      </x:c>
      <x:c r="D43" s="15" t="str">
        <x:v>WB-MAT-014</x:v>
      </x:c>
      <x:c r="E43" s="15"/>
      <x:c r="F43" s="18" t="str">
        <x:v>Unmatched</x:v>
      </x:c>
      <x:c r="G43" s="15" t="str">
        <x:v>ADU!A19</x:v>
      </x:c>
      <x:c r="H43" s="15" t="str">
        <x:v>Create or map explicitly</x:v>
      </x:c>
      <x:c r="I43" s="15" t="str">
        <x:v>Automatic calculation candidate</x:v>
      </x:c>
    </x:row>
    <x:row r="44" ht="30" customHeight="1">
      <x:c r="A44" s="15" t="str">
        <x:v>Material/component</x:v>
      </x:c>
      <x:c r="B44" s="15" t="str">
        <x:v>DELUX 222</x:v>
      </x:c>
      <x:c r="C44" s="15" t="str">
        <x:v>Raw Material / Component / Packing Material</x:v>
      </x:c>
      <x:c r="D44" s="15" t="str">
        <x:v>WB-MAT-015</x:v>
      </x:c>
      <x:c r="E44" s="15"/>
      <x:c r="F44" s="18" t="str">
        <x:v>Unmatched</x:v>
      </x:c>
      <x:c r="G44" s="15" t="str">
        <x:v>ADU!A20</x:v>
      </x:c>
      <x:c r="H44" s="15" t="str">
        <x:v>Create or map explicitly</x:v>
      </x:c>
      <x:c r="I44" s="15" t="str">
        <x:v>Automatic calculation candidate</x:v>
      </x:c>
    </x:row>
    <x:row r="45" ht="30" customHeight="1">
      <x:c r="A45" s="15" t="str">
        <x:v>Material/component</x:v>
      </x:c>
      <x:c r="B45" s="15" t="str">
        <x:v>DELUX 333</x:v>
      </x:c>
      <x:c r="C45" s="15" t="str">
        <x:v>Raw Material / Component / Packing Material</x:v>
      </x:c>
      <x:c r="D45" s="15" t="str">
        <x:v>WB-MAT-016</x:v>
      </x:c>
      <x:c r="E45" s="15"/>
      <x:c r="F45" s="18" t="str">
        <x:v>Unmatched</x:v>
      </x:c>
      <x:c r="G45" s="15" t="str">
        <x:v>ADU!A21</x:v>
      </x:c>
      <x:c r="H45" s="15" t="str">
        <x:v>Create or map explicitly</x:v>
      </x:c>
      <x:c r="I45" s="15" t="str">
        <x:v>Automatic calculation candidate</x:v>
      </x:c>
    </x:row>
    <x:row r="46" ht="30" customHeight="1">
      <x:c r="A46" s="15" t="str">
        <x:v>Material/component</x:v>
      </x:c>
      <x:c r="B46" s="15" t="str">
        <x:v>DELUX 444</x:v>
      </x:c>
      <x:c r="C46" s="15" t="str">
        <x:v>Raw Material / Component / Packing Material</x:v>
      </x:c>
      <x:c r="D46" s="15" t="str">
        <x:v>WB-MAT-017</x:v>
      </x:c>
      <x:c r="E46" s="15"/>
      <x:c r="F46" s="18" t="str">
        <x:v>Unmatched</x:v>
      </x:c>
      <x:c r="G46" s="15" t="str">
        <x:v>ADU!A22</x:v>
      </x:c>
      <x:c r="H46" s="15" t="str">
        <x:v>Create or map explicitly</x:v>
      </x:c>
      <x:c r="I46" s="15" t="str">
        <x:v>Automatic calculation candidate</x:v>
      </x:c>
    </x:row>
    <x:row r="47" ht="30" customHeight="1">
      <x:c r="A47" s="15" t="str">
        <x:v>Material/component</x:v>
      </x:c>
      <x:c r="B47" s="15" t="str">
        <x:v>DELUX 555</x:v>
      </x:c>
      <x:c r="C47" s="15" t="str">
        <x:v>Raw Material / Component / Packing Material</x:v>
      </x:c>
      <x:c r="D47" s="15" t="str">
        <x:v>WB-MAT-018</x:v>
      </x:c>
      <x:c r="E47" s="15"/>
      <x:c r="F47" s="18" t="str">
        <x:v>Unmatched</x:v>
      </x:c>
      <x:c r="G47" s="15" t="str">
        <x:v>ADU!A23</x:v>
      </x:c>
      <x:c r="H47" s="15" t="str">
        <x:v>Create or map explicitly</x:v>
      </x:c>
      <x:c r="I47" s="15" t="str">
        <x:v>Automatic calculation candidate</x:v>
      </x:c>
    </x:row>
    <x:row r="48" ht="30" customHeight="1">
      <x:c r="A48" s="15" t="str">
        <x:v>Material/component</x:v>
      </x:c>
      <x:c r="B48" s="15" t="str">
        <x:v>OREO CLIP (DZN)</x:v>
      </x:c>
      <x:c r="C48" s="15" t="str">
        <x:v>Raw Material / Component / Packing Material</x:v>
      </x:c>
      <x:c r="D48" s="15" t="str">
        <x:v>WB-MAT-019</x:v>
      </x:c>
      <x:c r="E48" s="15"/>
      <x:c r="F48" s="18" t="str">
        <x:v>Unmatched</x:v>
      </x:c>
      <x:c r="G48" s="15" t="str">
        <x:v>ADU!A25</x:v>
      </x:c>
      <x:c r="H48" s="15" t="str">
        <x:v>Create or map explicitly</x:v>
      </x:c>
      <x:c r="I48" s="15" t="str">
        <x:v>Automatic calculation candidate</x:v>
      </x:c>
    </x:row>
    <x:row r="49" ht="30" customHeight="1">
      <x:c r="A49" s="15" t="str">
        <x:v>Material/component</x:v>
      </x:c>
      <x:c r="B49" s="15" t="str">
        <x:v>SQUARE HANGER</x:v>
      </x:c>
      <x:c r="C49" s="15" t="str">
        <x:v>Raw Material / Component / Packing Material</x:v>
      </x:c>
      <x:c r="D49" s="15" t="str">
        <x:v>WB-MAT-020</x:v>
      </x:c>
      <x:c r="E49" s="15"/>
      <x:c r="F49" s="18" t="str">
        <x:v>Unmatched</x:v>
      </x:c>
      <x:c r="G49" s="15" t="str">
        <x:v>ADU!A26</x:v>
      </x:c>
      <x:c r="H49" s="15" t="str">
        <x:v>Create or map explicitly</x:v>
      </x:c>
      <x:c r="I49" s="15" t="str">
        <x:v>Automatic calculation candidate</x:v>
      </x:c>
    </x:row>
    <x:row r="50" ht="30" customHeight="1">
      <x:c r="A50" s="15" t="str">
        <x:v>Material/component</x:v>
      </x:c>
      <x:c r="B50" s="15" t="str">
        <x:v>DELUX CLIP (DZN)</x:v>
      </x:c>
      <x:c r="C50" s="15" t="str">
        <x:v>Raw Material / Component / Packing Material</x:v>
      </x:c>
      <x:c r="D50" s="15" t="str">
        <x:v>WB-MAT-021</x:v>
      </x:c>
      <x:c r="E50" s="15"/>
      <x:c r="F50" s="18" t="str">
        <x:v>Unmatched</x:v>
      </x:c>
      <x:c r="G50" s="15" t="str">
        <x:v>ADU!A27</x:v>
      </x:c>
      <x:c r="H50" s="15" t="str">
        <x:v>Create or map explicitly</x:v>
      </x:c>
      <x:c r="I50" s="15" t="str">
        <x:v>Automatic calculation candidate</x:v>
      </x:c>
    </x:row>
    <x:row r="51" ht="30" customHeight="1">
      <x:c r="A51" s="15" t="str">
        <x:v>Material/component</x:v>
      </x:c>
      <x:c r="B51" s="15" t="str">
        <x:v>DELUX HANGER</x:v>
      </x:c>
      <x:c r="C51" s="15" t="str">
        <x:v>Raw Material / Component / Packing Material</x:v>
      </x:c>
      <x:c r="D51" s="15" t="str">
        <x:v>WB-MAT-022</x:v>
      </x:c>
      <x:c r="E51" s="15"/>
      <x:c r="F51" s="18" t="str">
        <x:v>Unmatched</x:v>
      </x:c>
      <x:c r="G51" s="15" t="str">
        <x:v>ADU!A28</x:v>
      </x:c>
      <x:c r="H51" s="15" t="str">
        <x:v>Create or map explicitly</x:v>
      </x:c>
      <x:c r="I51" s="15" t="str">
        <x:v>Automatic calculation candidate</x:v>
      </x:c>
    </x:row>
    <x:row r="52" ht="30" customHeight="1">
      <x:c r="A52" s="15" t="str">
        <x:v>Material/component</x:v>
      </x:c>
      <x:c r="B52" s="15" t="str">
        <x:v>SPIN HANGER</x:v>
      </x:c>
      <x:c r="C52" s="15" t="str">
        <x:v>Raw Material / Component / Packing Material</x:v>
      </x:c>
      <x:c r="D52" s="15" t="str">
        <x:v>WB-MAT-023</x:v>
      </x:c>
      <x:c r="E52" s="15"/>
      <x:c r="F52" s="18" t="str">
        <x:v>Unmatched</x:v>
      </x:c>
      <x:c r="G52" s="15" t="str">
        <x:v>ADU!A29</x:v>
      </x:c>
      <x:c r="H52" s="15" t="str">
        <x:v>Create or map explicitly</x:v>
      </x:c>
      <x:c r="I52" s="15" t="str">
        <x:v>Automatic calculation candidate</x:v>
      </x:c>
    </x:row>
    <x:row r="53" ht="30" customHeight="1">
      <x:c r="A53" s="15" t="str">
        <x:v>Material/component</x:v>
      </x:c>
      <x:c r="B53" s="15" t="str">
        <x:v>WHITE BOX K-55</x:v>
      </x:c>
      <x:c r="C53" s="15" t="str">
        <x:v>Raw Material / Component / Packing Material</x:v>
      </x:c>
      <x:c r="D53" s="15" t="str">
        <x:v>WB-MAT-024</x:v>
      </x:c>
      <x:c r="E53" s="15"/>
      <x:c r="F53" s="18" t="str">
        <x:v>Unmatched</x:v>
      </x:c>
      <x:c r="G53" s="15" t="str">
        <x:v>ADU!A31</x:v>
      </x:c>
      <x:c r="H53" s="15" t="str">
        <x:v>Create or map explicitly</x:v>
      </x:c>
      <x:c r="I53" s="15" t="str">
        <x:v>Automatic calculation candidate</x:v>
      </x:c>
    </x:row>
    <x:row r="54" ht="30" customHeight="1">
      <x:c r="A54" s="15" t="str">
        <x:v>Material/component</x:v>
      </x:c>
      <x:c r="B54" s="15" t="str">
        <x:v>R-36 BOX K-55</x:v>
      </x:c>
      <x:c r="C54" s="15" t="str">
        <x:v>Raw Material / Component / Packing Material</x:v>
      </x:c>
      <x:c r="D54" s="15" t="str">
        <x:v>WB-MAT-025</x:v>
      </x:c>
      <x:c r="E54" s="15"/>
      <x:c r="F54" s="18" t="str">
        <x:v>Unmatched</x:v>
      </x:c>
      <x:c r="G54" s="15" t="str">
        <x:v>ADU!A32</x:v>
      </x:c>
      <x:c r="H54" s="15" t="str">
        <x:v>Create or map explicitly</x:v>
      </x:c>
      <x:c r="I54" s="15" t="str">
        <x:v>Automatic calculation candidate</x:v>
      </x:c>
    </x:row>
    <x:row r="55" ht="30" customHeight="1">
      <x:c r="A55" s="15" t="str">
        <x:v>Material/component</x:v>
      </x:c>
      <x:c r="B55" s="15" t="str">
        <x:v>WHITE BOX K-66</x:v>
      </x:c>
      <x:c r="C55" s="15" t="str">
        <x:v>Raw Material / Component / Packing Material</x:v>
      </x:c>
      <x:c r="D55" s="15" t="str">
        <x:v>WB-MAT-026</x:v>
      </x:c>
      <x:c r="E55" s="15"/>
      <x:c r="F55" s="18" t="str">
        <x:v>Unmatched</x:v>
      </x:c>
      <x:c r="G55" s="15" t="str">
        <x:v>ADU!A33</x:v>
      </x:c>
      <x:c r="H55" s="15" t="str">
        <x:v>Create or map explicitly</x:v>
      </x:c>
      <x:c r="I55" s="15" t="str">
        <x:v>Automatic calculation candidate</x:v>
      </x:c>
    </x:row>
    <x:row r="56" ht="30" customHeight="1">
      <x:c r="A56" s="15" t="str">
        <x:v>Material/component</x:v>
      </x:c>
      <x:c r="B56" s="15" t="str">
        <x:v>WHITE BOX SQUARE HANGER</x:v>
      </x:c>
      <x:c r="C56" s="15" t="str">
        <x:v>Raw Material / Component / Packing Material</x:v>
      </x:c>
      <x:c r="D56" s="15" t="str">
        <x:v>WB-MAT-027</x:v>
      </x:c>
      <x:c r="E56" s="15"/>
      <x:c r="F56" s="18" t="str">
        <x:v>Unmatched</x:v>
      </x:c>
      <x:c r="G56" s="15" t="str">
        <x:v>ADU!A34</x:v>
      </x:c>
      <x:c r="H56" s="15" t="str">
        <x:v>Create or map explicitly</x:v>
      </x:c>
      <x:c r="I56" s="15" t="str">
        <x:v>Automatic calculation candidate</x:v>
      </x:c>
    </x:row>
    <x:row r="57" ht="30" customHeight="1">
      <x:c r="A57" s="15" t="str">
        <x:v>Material/component</x:v>
      </x:c>
      <x:c r="B57" s="15" t="str">
        <x:v>FLEXI-16 BOX</x:v>
      </x:c>
      <x:c r="C57" s="15" t="str">
        <x:v>Raw Material / Component / Packing Material</x:v>
      </x:c>
      <x:c r="D57" s="15" t="str">
        <x:v>WB-MAT-028</x:v>
      </x:c>
      <x:c r="E57" s="15"/>
      <x:c r="F57" s="18" t="str">
        <x:v>Unmatched</x:v>
      </x:c>
      <x:c r="G57" s="15" t="str">
        <x:v>ADU!A36</x:v>
      </x:c>
      <x:c r="H57" s="15" t="str">
        <x:v>Create or map explicitly</x:v>
      </x:c>
      <x:c r="I57" s="15" t="str">
        <x:v>Automatic calculation candidate</x:v>
      </x:c>
    </x:row>
    <x:row r="58" ht="30" customHeight="1">
      <x:c r="A58" s="15" t="str">
        <x:v>Material/component</x:v>
      </x:c>
      <x:c r="B58" s="15" t="str">
        <x:v>MH HANGER BOX</x:v>
      </x:c>
      <x:c r="C58" s="15" t="str">
        <x:v>Raw Material / Component / Packing Material</x:v>
      </x:c>
      <x:c r="D58" s="15" t="str">
        <x:v>WB-MAT-029</x:v>
      </x:c>
      <x:c r="E58" s="15"/>
      <x:c r="F58" s="18" t="str">
        <x:v>Unmatched</x:v>
      </x:c>
      <x:c r="G58" s="15" t="str">
        <x:v>ADU!A37</x:v>
      </x:c>
      <x:c r="H58" s="15" t="str">
        <x:v>Create or map explicitly</x:v>
      </x:c>
      <x:c r="I58" s="15" t="str">
        <x:v>Automatic calculation candidate</x:v>
      </x:c>
    </x:row>
    <x:row r="59" ht="30" customHeight="1">
      <x:c r="A59" s="15" t="str">
        <x:v>Material/component</x:v>
      </x:c>
      <x:c r="B59" s="15" t="str">
        <x:v>BH-25 WHITE BOX</x:v>
      </x:c>
      <x:c r="C59" s="15" t="str">
        <x:v>Raw Material / Component / Packing Material</x:v>
      </x:c>
      <x:c r="D59" s="15" t="str">
        <x:v>WB-MAT-030</x:v>
      </x:c>
      <x:c r="E59" s="15"/>
      <x:c r="F59" s="18" t="str">
        <x:v>Unmatched</x:v>
      </x:c>
      <x:c r="G59" s="15" t="str">
        <x:v>ADU!A38</x:v>
      </x:c>
      <x:c r="H59" s="15" t="str">
        <x:v>Create or map explicitly</x:v>
      </x:c>
      <x:c r="I59" s="15" t="str">
        <x:v>Automatic calculation candidate</x:v>
      </x:c>
    </x:row>
    <x:row r="60" ht="30" customHeight="1">
      <x:c r="A60" s="15" t="str">
        <x:v>Material/component</x:v>
      </x:c>
      <x:c r="B60" s="15" t="str">
        <x:v>BH-40 WHITE BOX</x:v>
      </x:c>
      <x:c r="C60" s="15" t="str">
        <x:v>Raw Material / Component / Packing Material</x:v>
      </x:c>
      <x:c r="D60" s="15" t="str">
        <x:v>WB-MAT-031</x:v>
      </x:c>
      <x:c r="E60" s="15"/>
      <x:c r="F60" s="18" t="str">
        <x:v>Unmatched</x:v>
      </x:c>
      <x:c r="G60" s="15" t="str">
        <x:v>ADU!A39</x:v>
      </x:c>
      <x:c r="H60" s="15" t="str">
        <x:v>Create or map explicitly</x:v>
      </x:c>
      <x:c r="I60" s="15" t="str">
        <x:v>Automatic calculation candidate</x:v>
      </x:c>
    </x:row>
    <x:row r="61" ht="30" customHeight="1">
      <x:c r="A61" s="15" t="str">
        <x:v>Material/component</x:v>
      </x:c>
      <x:c r="B61" s="15" t="str">
        <x:v>PANNI K-55</x:v>
      </x:c>
      <x:c r="C61" s="15" t="str">
        <x:v>Raw Material / Component / Packing Material</x:v>
      </x:c>
      <x:c r="D61" s="15" t="str">
        <x:v>WB-MAT-032</x:v>
      </x:c>
      <x:c r="E61" s="15"/>
      <x:c r="F61" s="18" t="str">
        <x:v>Unmatched</x:v>
      </x:c>
      <x:c r="G61" s="15" t="str">
        <x:v>ADU!A41</x:v>
      </x:c>
      <x:c r="H61" s="15" t="str">
        <x:v>Create or map explicitly</x:v>
      </x:c>
      <x:c r="I61" s="15" t="str">
        <x:v>Manual/configuration required</x:v>
      </x:c>
    </x:row>
    <x:row r="62" ht="30" customHeight="1">
      <x:c r="A62" s="15" t="str">
        <x:v>Material/component</x:v>
      </x:c>
      <x:c r="B62" s="15" t="str">
        <x:v>PANNI K-66</x:v>
      </x:c>
      <x:c r="C62" s="15" t="str">
        <x:v>Raw Material / Component / Packing Material</x:v>
      </x:c>
      <x:c r="D62" s="15" t="str">
        <x:v>WB-MAT-033</x:v>
      </x:c>
      <x:c r="E62" s="15"/>
      <x:c r="F62" s="18" t="str">
        <x:v>Unmatched</x:v>
      </x:c>
      <x:c r="G62" s="15" t="str">
        <x:v>ADU!A42</x:v>
      </x:c>
      <x:c r="H62" s="15" t="str">
        <x:v>Create or map explicitly</x:v>
      </x:c>
      <x:c r="I62" s="15" t="str">
        <x:v>Manual/configuration required</x:v>
      </x:c>
    </x:row>
    <x:row r="63" ht="30" customHeight="1">
      <x:c r="A63" s="15" t="str">
        <x:v>Material/component</x:v>
      </x:c>
      <x:c r="B63" s="15" t="str">
        <x:v>PANNI DELUX-333</x:v>
      </x:c>
      <x:c r="C63" s="15" t="str">
        <x:v>Raw Material / Component / Packing Material</x:v>
      </x:c>
      <x:c r="D63" s="15" t="str">
        <x:v>WB-MAT-034</x:v>
      </x:c>
      <x:c r="E63" s="15"/>
      <x:c r="F63" s="18" t="str">
        <x:v>Unmatched</x:v>
      </x:c>
      <x:c r="G63" s="15" t="str">
        <x:v>ADU!A43</x:v>
      </x:c>
      <x:c r="H63" s="15" t="str">
        <x:v>Create or map explicitly</x:v>
      </x:c>
      <x:c r="I63" s="15" t="str">
        <x:v>Manual/configuration required</x:v>
      </x:c>
    </x:row>
    <x:row r="64" ht="30" customHeight="1">
      <x:c r="A64" s="15" t="str">
        <x:v>Material/component</x:v>
      </x:c>
      <x:c r="B64" s="15" t="str">
        <x:v>PANNI DELUX-555</x:v>
      </x:c>
      <x:c r="C64" s="15" t="str">
        <x:v>Raw Material / Component / Packing Material</x:v>
      </x:c>
      <x:c r="D64" s="15" t="str">
        <x:v>WB-MAT-035</x:v>
      </x:c>
      <x:c r="E64" s="15"/>
      <x:c r="F64" s="18" t="str">
        <x:v>Unmatched</x:v>
      </x:c>
      <x:c r="G64" s="15" t="str">
        <x:v>ADU!A44</x:v>
      </x:c>
      <x:c r="H64" s="15" t="str">
        <x:v>Create or map explicitly</x:v>
      </x:c>
      <x:c r="I64" s="15" t="str">
        <x:v>Manual/configuration required</x:v>
      </x:c>
    </x:row>
    <x:row r="65" ht="30" customHeight="1">
      <x:c r="A65" s="15" t="str">
        <x:v>Material/component</x:v>
      </x:c>
      <x:c r="B65" s="15" t="str">
        <x:v>PANNI K-44</x:v>
      </x:c>
      <x:c r="C65" s="15" t="str">
        <x:v>Raw Material / Component / Packing Material</x:v>
      </x:c>
      <x:c r="D65" s="15" t="str">
        <x:v>WB-MAT-036</x:v>
      </x:c>
      <x:c r="E65" s="15"/>
      <x:c r="F65" s="18" t="str">
        <x:v>Unmatched</x:v>
      </x:c>
      <x:c r="G65" s="15" t="str">
        <x:v>ADU!A45</x:v>
      </x:c>
      <x:c r="H65" s="15" t="str">
        <x:v>Create or map explicitly</x:v>
      </x:c>
      <x:c r="I65" s="15" t="str">
        <x:v>Manual/configuration required</x:v>
      </x:c>
    </x:row>
    <x:row r="66" ht="30" customHeight="1">
      <x:c r="A66" s="15" t="str">
        <x:v>Material/component</x:v>
      </x:c>
      <x:c r="B66" s="15" t="str">
        <x:v>PANNI MH-10</x:v>
      </x:c>
      <x:c r="C66" s="15" t="str">
        <x:v>Raw Material / Component / Packing Material</x:v>
      </x:c>
      <x:c r="D66" s="15" t="str">
        <x:v>WB-MAT-037</x:v>
      </x:c>
      <x:c r="E66" s="15"/>
      <x:c r="F66" s="18" t="str">
        <x:v>Unmatched</x:v>
      </x:c>
      <x:c r="G66" s="15" t="str">
        <x:v>ADU!A46</x:v>
      </x:c>
      <x:c r="H66" s="15" t="str">
        <x:v>Create or map explicitly</x:v>
      </x:c>
      <x:c r="I66" s="15" t="str">
        <x:v>Manual/configuration required</x:v>
      </x:c>
    </x:row>
    <x:row r="67" ht="30" customHeight="1">
      <x:c r="A67" s="15" t="str">
        <x:v>Material/component</x:v>
      </x:c>
      <x:c r="B67" s="15" t="str">
        <x:v>SPRING</x:v>
      </x:c>
      <x:c r="C67" s="15" t="str">
        <x:v>Raw Material / Component / Packing Material</x:v>
      </x:c>
      <x:c r="D67" s="15" t="str">
        <x:v>WB-MAT-038</x:v>
      </x:c>
      <x:c r="E67" s="15"/>
      <x:c r="F67" s="18" t="str">
        <x:v>Unmatched</x:v>
      </x:c>
      <x:c r="G67" s="15" t="str">
        <x:v>ADU!A48</x:v>
      </x:c>
      <x:c r="H67" s="15" t="str">
        <x:v>Create or map explicitly</x:v>
      </x:c>
      <x:c r="I67" s="15" t="str">
        <x:v>Manual/configuration required</x:v>
      </x:c>
    </x:row>
    <x:row r="68" ht="30" customHeight="1">
      <x:c r="A68" s="15" t="str">
        <x:v>Material/component</x:v>
      </x:c>
      <x:c r="B68" s="15" t="str">
        <x:v>RIVET</x:v>
      </x:c>
      <x:c r="C68" s="15" t="str">
        <x:v>Raw Material / Component / Packing Material</x:v>
      </x:c>
      <x:c r="D68" s="15" t="str">
        <x:v>WB-MAT-039</x:v>
      </x:c>
      <x:c r="E68" s="15"/>
      <x:c r="F68" s="18" t="str">
        <x:v>Unmatched</x:v>
      </x:c>
      <x:c r="G68" s="15" t="str">
        <x:v>ADU!A49</x:v>
      </x:c>
      <x:c r="H68" s="15" t="str">
        <x:v>Create or map explicitly</x:v>
      </x:c>
      <x:c r="I68" s="15" t="str">
        <x:v>Manual/configuration required</x:v>
      </x:c>
    </x:row>
    <x:row r="69" ht="30" customHeight="1">
      <x:c r="A69" s="15" t="str">
        <x:v>Material/component</x:v>
      </x:c>
      <x:c r="B69" s="15" t="str">
        <x:v>HOOK</x:v>
      </x:c>
      <x:c r="C69" s="15" t="str">
        <x:v>Raw Material / Component / Packing Material</x:v>
      </x:c>
      <x:c r="D69" s="15" t="str">
        <x:v>WB-MAT-040</x:v>
      </x:c>
      <x:c r="E69" s="15"/>
      <x:c r="F69" s="18" t="str">
        <x:v>Unmatched</x:v>
      </x:c>
      <x:c r="G69" s="15" t="str">
        <x:v>ADU!A50</x:v>
      </x:c>
      <x:c r="H69" s="15" t="str">
        <x:v>Create or map explicitly</x:v>
      </x:c>
      <x:c r="I69" s="15" t="str">
        <x:v>Manual/configuration required</x:v>
      </x:c>
    </x:row>
    <x:row r="70" ht="30" customHeight="1">
      <x:c r="A70" s="15" t="str">
        <x:v>Material/component</x:v>
      </x:c>
      <x:c r="B70" s="15" t="str">
        <x:v>ORA SPRING</x:v>
      </x:c>
      <x:c r="C70" s="15" t="str">
        <x:v>Raw Material / Component / Packing Material</x:v>
      </x:c>
      <x:c r="D70" s="15" t="str">
        <x:v>WB-MAT-041</x:v>
      </x:c>
      <x:c r="E70" s="15"/>
      <x:c r="F70" s="18" t="str">
        <x:v>Unmatched</x:v>
      </x:c>
      <x:c r="G70" s="15" t="str">
        <x:v>ADU!A51</x:v>
      </x:c>
      <x:c r="H70" s="15" t="str">
        <x:v>Create or map explicitly</x:v>
      </x:c>
      <x:c r="I70" s="15" t="str">
        <x:v>Manual/configuration required</x:v>
      </x:c>
    </x:row>
    <x:row r="71" ht="30" customHeight="1">
      <x:c r="A71" s="15" t="str">
        <x:v>Material/component</x:v>
      </x:c>
      <x:c r="B71" s="15" t="str">
        <x:v>CONTAINER PANNI</x:v>
      </x:c>
      <x:c r="C71" s="15" t="str">
        <x:v>Raw Material / Component / Packing Material</x:v>
      </x:c>
      <x:c r="D71" s="15" t="str">
        <x:v>WB-MAT-042</x:v>
      </x:c>
      <x:c r="E71" s="15"/>
      <x:c r="F71" s="18" t="str">
        <x:v>Unmatched</x:v>
      </x:c>
      <x:c r="G71" s="15" t="str">
        <x:v>ADU!A52</x:v>
      </x:c>
      <x:c r="H71" s="15" t="str">
        <x:v>Create or map explicitly</x:v>
      </x:c>
      <x:c r="I71" s="15" t="str">
        <x:v>Manual/configuration required</x:v>
      </x:c>
    </x:row>
    <x:row r="72" ht="30" customHeight="1">
      <x:c r="A72" s="15" t="str">
        <x:v>Material/component</x:v>
      </x:c>
      <x:c r="B72" s="15" t="str">
        <x:v>OUTER BOX</x:v>
      </x:c>
      <x:c r="C72" s="15" t="str">
        <x:v>Raw Material / Component / Packing Material</x:v>
      </x:c>
      <x:c r="D72" s="15" t="str">
        <x:v>WB-MAT-043</x:v>
      </x:c>
      <x:c r="E72" s="15"/>
      <x:c r="F72" s="18" t="str">
        <x:v>Unmatched</x:v>
      </x:c>
      <x:c r="G72" s="15" t="str">
        <x:v>ADU!A53</x:v>
      </x:c>
      <x:c r="H72" s="15" t="str">
        <x:v>Create or map explicitly</x:v>
      </x:c>
      <x:c r="I72" s="15" t="str">
        <x:v>Manual/configuration required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6" hidden="0" customWidth="1"/>
    <x:col min="5" max="5" width="22" hidden="0" customWidth="1"/>
    <x:col min="6" max="6" width="14" hidden="0" customWidth="1"/>
    <x:col min="7" max="7" width="24" hidden="0" customWidth="1"/>
    <x:col min="8" max="8" width="52" hidden="0" customWidth="1"/>
  </x:cols>
  <x:sheetData>
    <x:row r="1" ht="28" customHeight="1">
      <x:c r="A1" s="14" t="str">
        <x:v>Channel SKU Mapping Staging</x:v>
      </x:c>
      <x:c r="B1" s="15"/>
      <x:c r="C1" s="15"/>
      <x:c r="D1" s="15"/>
      <x:c r="E1" s="15"/>
      <x:c r="F1" s="15"/>
      <x:c r="G1" s="15"/>
      <x:c r="H1" s="15"/>
    </x:row>
    <x:row r="2" ht="30" customHeight="1">
      <x:c r="A2" s="16" t="str">
        <x:v>The source workbook identifies channel quantities but supplies no channel SKU values. Blank SKU cells are deliberate blockers, not inferred identifiers.</x:v>
      </x:c>
      <x:c r="B2" s="15"/>
      <x:c r="C2" s="15"/>
      <x:c r="D2" s="15"/>
      <x:c r="E2" s="15"/>
      <x:c r="F2" s="15"/>
      <x:c r="G2" s="15"/>
      <x:c r="H2" s="15"/>
    </x:row>
    <x:row r="3" ht="24" customHeight="1">
      <x:c r="A3" s="17" t="str">
        <x:v>Finished Product</x:v>
      </x:c>
      <x:c r="B3" s="17" t="str">
        <x:v>Channel Code</x:v>
      </x:c>
      <x:c r="C3" s="17" t="str">
        <x:v>Channel Name</x:v>
      </x:c>
      <x:c r="D3" s="17" t="str">
        <x:v>Workbook Quantity</x:v>
      </x:c>
      <x:c r="E3" s="17" t="str">
        <x:v>Channel SKU</x:v>
      </x:c>
      <x:c r="F3" s="17" t="str">
        <x:v>ERP Item ID</x:v>
      </x:c>
      <x:c r="G3" s="17" t="str">
        <x:v>Status</x:v>
      </x:c>
      <x:c r="H3" s="17" t="str">
        <x:v>Action</x:v>
      </x:c>
    </x:row>
    <x:row r="4">
      <x:c r="A4" s="15" t="str">
        <x:v>BLACK ULTIMATE HANGER 20</x:v>
      </x:c>
      <x:c r="B4" s="15" t="str">
        <x:v>AMZ</x:v>
      </x:c>
      <x:c r="C4" s="15" t="str">
        <x:v>Amazon</x:v>
      </x:c>
      <x:c r="D4" s="22" t="n">
        <x:v>12</x:v>
      </x:c>
      <x:c r="E4" s="15"/>
      <x:c r="F4" s="15"/>
      <x:c r="G4" s="23" t="str">
        <x:v>Blocked — missing SKU</x:v>
      </x:c>
      <x:c r="H4" s="15" t="str">
        <x:v>Obtain channel SKU and map to an existing Finished Product Item</x:v>
      </x:c>
    </x:row>
    <x:row r="5">
      <x:c r="A5" s="15" t="str">
        <x:v>BLACK ULTIMATE HANGER 20</x:v>
      </x:c>
      <x:c r="B5" s="15" t="str">
        <x:v>BLI</x:v>
      </x:c>
      <x:c r="C5" s="15" t="str">
        <x:v>Blinkit</x:v>
      </x:c>
      <x:c r="D5" s="22" t="n">
        <x:v>45</x:v>
      </x:c>
      <x:c r="E5" s="15"/>
      <x:c r="F5" s="15"/>
      <x:c r="G5" s="23" t="str">
        <x:v>Blocked — missing SKU</x:v>
      </x:c>
      <x:c r="H5" s="15" t="str">
        <x:v>Obtain channel SKU and map to an existing Finished Product Item</x:v>
      </x:c>
    </x:row>
    <x:row r="6">
      <x:c r="A6" s="15" t="str">
        <x:v>BLACK ULTIMATE HANGER 20</x:v>
      </x:c>
      <x:c r="B6" s="15" t="str">
        <x:v>INS</x:v>
      </x:c>
      <x:c r="C6" s="15" t="str">
        <x:v>Instamart</x:v>
      </x:c>
      <x:c r="D6" s="22" t="n">
        <x:v>88</x:v>
      </x:c>
      <x:c r="E6" s="15"/>
      <x:c r="F6" s="15"/>
      <x:c r="G6" s="23" t="str">
        <x:v>Blocked — missing SKU</x:v>
      </x:c>
      <x:c r="H6" s="15" t="str">
        <x:v>Obtain channel SKU and map to an existing Finished Product Item</x:v>
      </x:c>
    </x:row>
    <x:row r="7">
      <x:c r="A7" s="15" t="str">
        <x:v>BLACK ULTIMATE HANGER 25</x:v>
      </x:c>
      <x:c r="B7" s="15" t="str">
        <x:v>AMZ</x:v>
      </x:c>
      <x:c r="C7" s="15" t="str">
        <x:v>Amazon</x:v>
      </x:c>
      <x:c r="D7" s="22" t="n">
        <x:v>55</x:v>
      </x:c>
      <x:c r="E7" s="15"/>
      <x:c r="F7" s="15"/>
      <x:c r="G7" s="23" t="str">
        <x:v>Blocked — missing SKU</x:v>
      </x:c>
      <x:c r="H7" s="15" t="str">
        <x:v>Obtain channel SKU and map to an existing Finished Product Item</x:v>
      </x:c>
    </x:row>
    <x:row r="8">
      <x:c r="A8" s="15" t="str">
        <x:v>BLACK ULTIMATE HANGER 40</x:v>
      </x:c>
      <x:c r="B8" s="15" t="str">
        <x:v>AMZ</x:v>
      </x:c>
      <x:c r="C8" s="15" t="str">
        <x:v>Amazon</x:v>
      </x:c>
      <x:c r="D8" s="22" t="n">
        <x:v>76</x:v>
      </x:c>
      <x:c r="E8" s="15"/>
      <x:c r="F8" s="15"/>
      <x:c r="G8" s="23" t="str">
        <x:v>Blocked — missing SKU</x:v>
      </x:c>
      <x:c r="H8" s="15" t="str">
        <x:v>Obtain channel SKU and map to an existing Finished Product Item</x:v>
      </x:c>
    </x:row>
    <x:row r="9">
      <x:c r="A9" s="15" t="str">
        <x:v>BLACK ULTIMATE HANGER 40</x:v>
      </x:c>
      <x:c r="B9" s="15" t="str">
        <x:v>BLI</x:v>
      </x:c>
      <x:c r="C9" s="15" t="str">
        <x:v>Blinkit</x:v>
      </x:c>
      <x:c r="D9" s="22" t="n">
        <x:v>34</x:v>
      </x:c>
      <x:c r="E9" s="15"/>
      <x:c r="F9" s="15"/>
      <x:c r="G9" s="23" t="str">
        <x:v>Blocked — missing SKU</x:v>
      </x:c>
      <x:c r="H9" s="15" t="str">
        <x:v>Obtain channel SKU and map to an existing Finished Product Item</x:v>
      </x:c>
    </x:row>
    <x:row r="10">
      <x:c r="A10" s="15" t="str">
        <x:v>BLACK ULTIMATE HANGER 40</x:v>
      </x:c>
      <x:c r="B10" s="15" t="str">
        <x:v>INS</x:v>
      </x:c>
      <x:c r="C10" s="15" t="str">
        <x:v>Instamart</x:v>
      </x:c>
      <x:c r="D10" s="22" t="n">
        <x:v>91</x:v>
      </x:c>
      <x:c r="E10" s="15"/>
      <x:c r="F10" s="15"/>
      <x:c r="G10" s="23" t="str">
        <x:v>Blocked — missing SKU</x:v>
      </x:c>
      <x:c r="H10" s="15" t="str">
        <x:v>Obtain channel SKU and map to an existing Finished Product Item</x:v>
      </x:c>
    </x:row>
    <x:row r="11">
      <x:c r="A11" s="15" t="str">
        <x:v>FLEXI-16</x:v>
      </x:c>
      <x:c r="B11" s="15" t="str">
        <x:v>AMZ</x:v>
      </x:c>
      <x:c r="C11" s="15" t="str">
        <x:v>Amazon</x:v>
      </x:c>
      <x:c r="D11" s="22" t="n">
        <x:v>23</x:v>
      </x:c>
      <x:c r="E11" s="15"/>
      <x:c r="F11" s="15"/>
      <x:c r="G11" s="23" t="str">
        <x:v>Blocked — missing SKU</x:v>
      </x:c>
      <x:c r="H11" s="15" t="str">
        <x:v>Obtain channel SKU and map to an existing Finished Product Item</x:v>
      </x:c>
    </x:row>
    <x:row r="12">
      <x:c r="A12" s="15" t="str">
        <x:v>FLEXI-16</x:v>
      </x:c>
      <x:c r="B12" s="15" t="str">
        <x:v>BLI</x:v>
      </x:c>
      <x:c r="C12" s="15" t="str">
        <x:v>Blinkit</x:v>
      </x:c>
      <x:c r="D12" s="22" t="n">
        <x:v>82</x:v>
      </x:c>
      <x:c r="E12" s="15"/>
      <x:c r="F12" s="15"/>
      <x:c r="G12" s="23" t="str">
        <x:v>Blocked — missing SKU</x:v>
      </x:c>
      <x:c r="H12" s="15" t="str">
        <x:v>Obtain channel SKU and map to an existing Finished Product Item</x:v>
      </x:c>
    </x:row>
    <x:row r="13">
      <x:c r="A13" s="15" t="str">
        <x:v>DELUX CLIP 24 WITH DELUX BOX</x:v>
      </x:c>
      <x:c r="B13" s="15" t="str">
        <x:v>AMZ</x:v>
      </x:c>
      <x:c r="C13" s="15" t="str">
        <x:v>Amazon</x:v>
      </x:c>
      <x:c r="D13" s="22" t="n">
        <x:v>47</x:v>
      </x:c>
      <x:c r="E13" s="15"/>
      <x:c r="F13" s="15"/>
      <x:c r="G13" s="23" t="str">
        <x:v>Blocked — missing SKU</x:v>
      </x:c>
      <x:c r="H13" s="15" t="str">
        <x:v>Obtain channel SKU and map to an existing Finished Product Item</x:v>
      </x:c>
    </x:row>
    <x:row r="14">
      <x:c r="A14" s="15" t="str">
        <x:v>DELUX CLIP 48 WITH DELUX BOX</x:v>
      </x:c>
      <x:c r="B14" s="15" t="str">
        <x:v>AMZ</x:v>
      </x:c>
      <x:c r="C14" s="15" t="str">
        <x:v>Amazon</x:v>
      </x:c>
      <x:c r="D14" s="22" t="n">
        <x:v>64</x:v>
      </x:c>
      <x:c r="E14" s="15"/>
      <x:c r="F14" s="15"/>
      <x:c r="G14" s="23" t="str">
        <x:v>Blocked — missing SKU</x:v>
      </x:c>
      <x:c r="H14" s="15" t="str">
        <x:v>Obtain channel SKU and map to an existing Finished Product Item</x:v>
      </x:c>
    </x:row>
    <x:row r="15">
      <x:c r="A15" s="15" t="str">
        <x:v>DELUX CLIP 48 WITH DELUX BOX</x:v>
      </x:c>
      <x:c r="B15" s="15" t="str">
        <x:v>BLI</x:v>
      </x:c>
      <x:c r="C15" s="15" t="str">
        <x:v>Blinkit</x:v>
      </x:c>
      <x:c r="D15" s="22" t="n">
        <x:v>19</x:v>
      </x:c>
      <x:c r="E15" s="15"/>
      <x:c r="F15" s="15"/>
      <x:c r="G15" s="23" t="str">
        <x:v>Blocked — missing SKU</x:v>
      </x:c>
      <x:c r="H15" s="15" t="str">
        <x:v>Obtain channel SKU and map to an existing Finished Product Item</x:v>
      </x:c>
    </x:row>
    <x:row r="16">
      <x:c r="A16" s="15" t="str">
        <x:v>DELUX SQUARE 25 CLIP HANGER</x:v>
      </x:c>
      <x:c r="B16" s="15" t="str">
        <x:v>AMZ</x:v>
      </x:c>
      <x:c r="C16" s="15" t="str">
        <x:v>Amazon</x:v>
      </x:c>
      <x:c r="D16" s="22" t="n">
        <x:v>15</x:v>
      </x:c>
      <x:c r="E16" s="15"/>
      <x:c r="F16" s="15"/>
      <x:c r="G16" s="23" t="str">
        <x:v>Blocked — missing SKU</x:v>
      </x:c>
      <x:c r="H16" s="15" t="str">
        <x:v>Obtain channel SKU and map to an existing Finished Product Item</x:v>
      </x:c>
    </x:row>
    <x:row r="17">
      <x:c r="A17" s="15" t="str">
        <x:v>DELUX SQUARE 25 CLIP HANGER</x:v>
      </x:c>
      <x:c r="B17" s="15" t="str">
        <x:v>BLI</x:v>
      </x:c>
      <x:c r="C17" s="15" t="str">
        <x:v>Blinkit</x:v>
      </x:c>
      <x:c r="D17" s="22" t="n">
        <x:v>73</x:v>
      </x:c>
      <x:c r="E17" s="15"/>
      <x:c r="F17" s="15"/>
      <x:c r="G17" s="23" t="str">
        <x:v>Blocked — missing SKU</x:v>
      </x:c>
      <x:c r="H17" s="15" t="str">
        <x:v>Obtain channel SKU and map to an existing Finished Product Item</x:v>
      </x:c>
    </x:row>
    <x:row r="18">
      <x:c r="A18" s="15" t="str">
        <x:v>GREY ULTIMATE HANGER 20</x:v>
      </x:c>
      <x:c r="B18" s="15" t="str">
        <x:v>AMZ</x:v>
      </x:c>
      <x:c r="C18" s="15" t="str">
        <x:v>Amazon</x:v>
      </x:c>
      <x:c r="D18" s="22" t="n">
        <x:v>99</x:v>
      </x:c>
      <x:c r="E18" s="15"/>
      <x:c r="F18" s="15"/>
      <x:c r="G18" s="23" t="str">
        <x:v>Blocked — missing SKU</x:v>
      </x:c>
      <x:c r="H18" s="15" t="str">
        <x:v>Obtain channel SKU and map to an existing Finished Product Item</x:v>
      </x:c>
    </x:row>
    <x:row r="19">
      <x:c r="A19" s="15" t="str">
        <x:v>GREY ULTIMATE HANGER 20</x:v>
      </x:c>
      <x:c r="B19" s="15" t="str">
        <x:v>BLI</x:v>
      </x:c>
      <x:c r="C19" s="15" t="str">
        <x:v>Blinkit</x:v>
      </x:c>
      <x:c r="D19" s="22" t="n">
        <x:v>28</x:v>
      </x:c>
      <x:c r="E19" s="15"/>
      <x:c r="F19" s="15"/>
      <x:c r="G19" s="23" t="str">
        <x:v>Blocked — missing SKU</x:v>
      </x:c>
      <x:c r="H19" s="15" t="str">
        <x:v>Obtain channel SKU and map to an existing Finished Product Item</x:v>
      </x:c>
    </x:row>
    <x:row r="20">
      <x:c r="A20" s="15" t="str">
        <x:v>GREY ULTIMATE HANGER 20</x:v>
      </x:c>
      <x:c r="B20" s="15" t="str">
        <x:v>INS</x:v>
      </x:c>
      <x:c r="C20" s="15" t="str">
        <x:v>Instamart</x:v>
      </x:c>
      <x:c r="D20" s="22" t="n">
        <x:v>42</x:v>
      </x:c>
      <x:c r="E20" s="15"/>
      <x:c r="F20" s="15"/>
      <x:c r="G20" s="23" t="str">
        <x:v>Blocked — missing SKU</x:v>
      </x:c>
      <x:c r="H20" s="15" t="str">
        <x:v>Obtain channel SKU and map to an existing Finished Product Item</x:v>
      </x:c>
    </x:row>
    <x:row r="21">
      <x:c r="A21" s="15" t="str">
        <x:v>MULTICOLOR HANGER 20</x:v>
      </x:c>
      <x:c r="B21" s="15" t="str">
        <x:v>AMZ</x:v>
      </x:c>
      <x:c r="C21" s="15" t="str">
        <x:v>Amazon</x:v>
      </x:c>
      <x:c r="D21" s="22" t="n">
        <x:v>38</x:v>
      </x:c>
      <x:c r="E21" s="15"/>
      <x:c r="F21" s="15"/>
      <x:c r="G21" s="23" t="str">
        <x:v>Blocked — missing SKU</x:v>
      </x:c>
      <x:c r="H21" s="15" t="str">
        <x:v>Obtain channel SKU and map to an existing Finished Product Item</x:v>
      </x:c>
    </x:row>
    <x:row r="22">
      <x:c r="A22" s="15" t="str">
        <x:v>MULTICOLOR HANGER 20</x:v>
      </x:c>
      <x:c r="B22" s="15" t="str">
        <x:v>BLI</x:v>
      </x:c>
      <x:c r="C22" s="15" t="str">
        <x:v>Blinkit</x:v>
      </x:c>
      <x:c r="D22" s="22" t="n">
        <x:v>61</x:v>
      </x:c>
      <x:c r="E22" s="15"/>
      <x:c r="F22" s="15"/>
      <x:c r="G22" s="23" t="str">
        <x:v>Blocked — missing SKU</x:v>
      </x:c>
      <x:c r="H22" s="15" t="str">
        <x:v>Obtain channel SKU and map to an existing Finished Product Item</x:v>
      </x:c>
    </x:row>
    <x:row r="23">
      <x:c r="A23" s="15" t="str">
        <x:v>MULTICOLOR HANGER 20</x:v>
      </x:c>
      <x:c r="B23" s="15" t="str">
        <x:v>INS</x:v>
      </x:c>
      <x:c r="C23" s="15" t="str">
        <x:v>Instamart</x:v>
      </x:c>
      <x:c r="D23" s="22" t="n">
        <x:v>50</x:v>
      </x:c>
      <x:c r="E23" s="15"/>
      <x:c r="F23" s="15"/>
      <x:c r="G23" s="23" t="str">
        <x:v>Blocked — missing SKU</x:v>
      </x:c>
      <x:c r="H23" s="15" t="str">
        <x:v>Obtain channel SKU and map to an existing Finished Product Item</x:v>
      </x:c>
    </x:row>
    <x:row r="24">
      <x:c r="A24" s="15" t="str">
        <x:v>ORA 20 WITH STORAGE BOX</x:v>
      </x:c>
      <x:c r="B24" s="15" t="str">
        <x:v>AMZ</x:v>
      </x:c>
      <x:c r="C24" s="15" t="str">
        <x:v>Amazon</x:v>
      </x:c>
      <x:c r="D24" s="22" t="n">
        <x:v>81</x:v>
      </x:c>
      <x:c r="E24" s="15"/>
      <x:c r="F24" s="15"/>
      <x:c r="G24" s="23" t="str">
        <x:v>Blocked — missing SKU</x:v>
      </x:c>
      <x:c r="H24" s="15" t="str">
        <x:v>Obtain channel SKU and map to an existing Finished Product Item</x:v>
      </x:c>
    </x:row>
    <x:row r="25">
      <x:c r="A25" s="15" t="str">
        <x:v>ORA 36 WITH STORAGE BOX</x:v>
      </x:c>
      <x:c r="B25" s="15" t="str">
        <x:v>AMZ</x:v>
      </x:c>
      <x:c r="C25" s="15" t="str">
        <x:v>Amazon</x:v>
      </x:c>
      <x:c r="D25" s="22" t="n">
        <x:v>29</x:v>
      </x:c>
      <x:c r="E25" s="15"/>
      <x:c r="F25" s="15"/>
      <x:c r="G25" s="23" t="str">
        <x:v>Blocked — missing SKU</x:v>
      </x:c>
      <x:c r="H25" s="15" t="str">
        <x:v>Obtain channel SKU and map to an existing Finished Product Item</x:v>
      </x:c>
    </x:row>
    <x:row r="26">
      <x:c r="A26" s="15" t="str">
        <x:v>OREO CLIP 36 WITH STORAGE BOX</x:v>
      </x:c>
      <x:c r="B26" s="15" t="str">
        <x:v>INS</x:v>
      </x:c>
      <x:c r="C26" s="15" t="str">
        <x:v>Instamart</x:v>
      </x:c>
      <x:c r="D26" s="22" t="n">
        <x:v>77</x:v>
      </x:c>
      <x:c r="E26" s="15"/>
      <x:c r="F26" s="15"/>
      <x:c r="G26" s="23" t="str">
        <x:v>Blocked — missing SKU</x:v>
      </x:c>
      <x:c r="H26" s="15" t="str">
        <x:v>Obtain channel SKU and map to an existing Finished Product Item</x:v>
      </x:c>
    </x:row>
    <x:row r="27">
      <x:c r="A27" s="15" t="str">
        <x:v>OREO CLIP 60 WITH STORAGE BOX</x:v>
      </x:c>
      <x:c r="B27" s="15" t="str">
        <x:v>AMZ</x:v>
      </x:c>
      <x:c r="C27" s="15" t="str">
        <x:v>Amazon</x:v>
      </x:c>
      <x:c r="D27" s="22" t="n">
        <x:v>68</x:v>
      </x:c>
      <x:c r="E27" s="15"/>
      <x:c r="F27" s="15"/>
      <x:c r="G27" s="23" t="str">
        <x:v>Blocked — missing SKU</x:v>
      </x:c>
      <x:c r="H27" s="15" t="str">
        <x:v>Obtain channel SKU and map to an existing Finished Product Item</x:v>
      </x:c>
    </x:row>
    <x:row r="28">
      <x:c r="A28" s="15" t="str">
        <x:v>OREO CLIP 60 WITH STORAGE BOX</x:v>
      </x:c>
      <x:c r="B28" s="15" t="str">
        <x:v>BLI</x:v>
      </x:c>
      <x:c r="C28" s="15" t="str">
        <x:v>Blinkit</x:v>
      </x:c>
      <x:c r="D28" s="22" t="n">
        <x:v>52</x:v>
      </x:c>
      <x:c r="E28" s="15"/>
      <x:c r="F28" s="15"/>
      <x:c r="G28" s="23" t="str">
        <x:v>Blocked — missing SKU</x:v>
      </x:c>
      <x:c r="H28" s="15" t="str">
        <x:v>Obtain channel SKU and map to an existing Finished Product Item</x:v>
      </x:c>
    </x:row>
    <x:row r="29">
      <x:c r="A29" s="15" t="str">
        <x:v>OREO SPIN HANGER</x:v>
      </x:c>
      <x:c r="B29" s="15" t="str">
        <x:v>AMZ</x:v>
      </x:c>
      <x:c r="C29" s="15" t="str">
        <x:v>Amazon</x:v>
      </x:c>
      <x:c r="D29" s="22" t="n">
        <x:v>94</x:v>
      </x:c>
      <x:c r="E29" s="15"/>
      <x:c r="F29" s="15"/>
      <x:c r="G29" s="23" t="str">
        <x:v>Blocked — missing SKU</x:v>
      </x:c>
      <x:c r="H29" s="15" t="str">
        <x:v>Obtain channel SKU and map to an existing Finished Product Item</x:v>
      </x:c>
    </x:row>
    <x:row r="30">
      <x:c r="A30" s="15" t="str">
        <x:v>OREO SQUARE 25 CLIP HANGER</x:v>
      </x:c>
      <x:c r="B30" s="15" t="str">
        <x:v>AMZ</x:v>
      </x:c>
      <x:c r="C30" s="15" t="str">
        <x:v>Amazon</x:v>
      </x:c>
      <x:c r="D30" s="22" t="n">
        <x:v>85</x:v>
      </x:c>
      <x:c r="E30" s="15"/>
      <x:c r="F30" s="15"/>
      <x:c r="G30" s="23" t="str">
        <x:v>Blocked — missing SKU</x:v>
      </x:c>
      <x:c r="H30" s="15" t="str">
        <x:v>Obtain channel SKU and map to an existing Finished Product Item</x:v>
      </x:c>
    </x:row>
    <x:row r="31">
      <x:c r="A31" s="15" t="str">
        <x:v>OREO SQUARE 25 CLIP HANGER</x:v>
      </x:c>
      <x:c r="B31" s="15" t="str">
        <x:v>BLI</x:v>
      </x:c>
      <x:c r="C31" s="15" t="str">
        <x:v>Blinkit</x:v>
      </x:c>
      <x:c r="D31" s="22" t="n">
        <x:v>11</x:v>
      </x:c>
      <x:c r="E31" s="15"/>
      <x:c r="F31" s="15"/>
      <x:c r="G31" s="23" t="str">
        <x:v>Blocked — missing SKU</x:v>
      </x:c>
      <x:c r="H31" s="15" t="str">
        <x:v>Obtain channel SKU and map to an existing Finished Product Item</x:v>
      </x:c>
    </x:row>
    <x:row r="32">
      <x:c r="A32" s="15" t="str">
        <x:v>RAINBOW 40 WITH DELUX STORAGE BOX</x:v>
      </x:c>
      <x:c r="B32" s="15" t="str">
        <x:v>AMZ</x:v>
      </x:c>
      <x:c r="C32" s="15" t="str">
        <x:v>Amazon</x:v>
      </x:c>
      <x:c r="D32" s="22" t="n">
        <x:v>33</x:v>
      </x:c>
      <x:c r="E32" s="15"/>
      <x:c r="F32" s="15"/>
      <x:c r="G32" s="23" t="str">
        <x:v>Blocked — missing SKU</x:v>
      </x:c>
      <x:c r="H32" s="15" t="str">
        <x:v>Obtain channel SKU and map to an existing Finished Product Item</x:v>
      </x:c>
    </x:row>
    <x:row r="33">
      <x:c r="A33" s="15" t="str">
        <x:v>RAINBOW 40 WITH DELUX STORAGE BOX</x:v>
      </x:c>
      <x:c r="B33" s="15" t="str">
        <x:v>BLI</x:v>
      </x:c>
      <x:c r="C33" s="15" t="str">
        <x:v>Blinkit</x:v>
      </x:c>
      <x:c r="D33" s="22" t="n">
        <x:v>44</x:v>
      </x:c>
      <x:c r="E33" s="15"/>
      <x:c r="F33" s="15"/>
      <x:c r="G33" s="23" t="str">
        <x:v>Blocked — missing SKU</x:v>
      </x:c>
      <x:c r="H33" s="15" t="str">
        <x:v>Obtain channel SKU and map to an existing Finished Product Item</x:v>
      </x:c>
    </x:row>
    <x:row r="34">
      <x:c r="A34" s="15" t="str">
        <x:v>RAINBOWCLIP 36 WITH STORAGE BOX</x:v>
      </x:c>
      <x:c r="B34" s="15" t="str">
        <x:v>AMZ</x:v>
      </x:c>
      <x:c r="C34" s="15" t="str">
        <x:v>Amazon</x:v>
      </x:c>
      <x:c r="D34" s="22" t="n">
        <x:v>21</x:v>
      </x:c>
      <x:c r="E34" s="15"/>
      <x:c r="F34" s="15"/>
      <x:c r="G34" s="23" t="str">
        <x:v>Blocked — missing SKU</x:v>
      </x:c>
      <x:c r="H34" s="15" t="str">
        <x:v>Obtain channel SKU and map to an existing Finished Product Item</x:v>
      </x:c>
    </x:row>
    <x:row r="35">
      <x:c r="A35" s="15" t="str">
        <x:v>RAINBOWCLIP 36 WITH STORAGE BOX</x:v>
      </x:c>
      <x:c r="B35" s="15" t="str">
        <x:v>BLI</x:v>
      </x:c>
      <x:c r="C35" s="15" t="str">
        <x:v>Blinkit</x:v>
      </x:c>
      <x:c r="D35" s="22" t="n">
        <x:v>97</x:v>
      </x:c>
      <x:c r="E35" s="15"/>
      <x:c r="F35" s="15"/>
      <x:c r="G35" s="23" t="str">
        <x:v>Blocked — missing SKU</x:v>
      </x:c>
      <x:c r="H35" s="15" t="str">
        <x:v>Obtain channel SKU and map to an existing Finished Product Item</x:v>
      </x:c>
    </x:row>
    <x:row r="36">
      <x:c r="A36" s="15" t="str">
        <x:v>RAINBOWCLIP 36 WITH STORAGE BOX</x:v>
      </x:c>
      <x:c r="B36" s="15" t="str">
        <x:v>INS</x:v>
      </x:c>
      <x:c r="C36" s="15" t="str">
        <x:v>Instamart</x:v>
      </x:c>
      <x:c r="D36" s="22" t="n">
        <x:v>66</x:v>
      </x:c>
      <x:c r="E36" s="15"/>
      <x:c r="F36" s="15"/>
      <x:c r="G36" s="23" t="str">
        <x:v>Blocked — missing SKU</x:v>
      </x:c>
      <x:c r="H36" s="15" t="str">
        <x:v>Obtain channel SKU and map to an existing Finished Product Item</x:v>
      </x:c>
    </x:row>
    <x:row r="37">
      <x:c r="A37" s="15" t="str">
        <x:v>RAINBOWCLIP 60 WITH STORAGE BOX</x:v>
      </x:c>
      <x:c r="B37" s="15" t="str">
        <x:v>AMZ</x:v>
      </x:c>
      <x:c r="C37" s="15" t="str">
        <x:v>Amazon</x:v>
      </x:c>
      <x:c r="D37" s="22" t="n">
        <x:v>58</x:v>
      </x:c>
      <x:c r="E37" s="15"/>
      <x:c r="F37" s="15"/>
      <x:c r="G37" s="23" t="str">
        <x:v>Blocked — missing SKU</x:v>
      </x:c>
      <x:c r="H37" s="15" t="str">
        <x:v>Obtain channel SKU and map to an existing Finished Product Item</x:v>
      </x:c>
    </x:row>
    <x:row r="38">
      <x:c r="A38" s="15" t="str">
        <x:v>RYNO SUPER CLIP 18</x:v>
      </x:c>
      <x:c r="B38" s="15" t="str">
        <x:v>AMZ</x:v>
      </x:c>
      <x:c r="C38" s="15" t="str">
        <x:v>Amazon</x:v>
      </x:c>
      <x:c r="D38" s="22" t="n">
        <x:v>14</x:v>
      </x:c>
      <x:c r="E38" s="15"/>
      <x:c r="F38" s="15"/>
      <x:c r="G38" s="23" t="str">
        <x:v>Blocked — missing SKU</x:v>
      </x:c>
      <x:c r="H38" s="15" t="str">
        <x:v>Obtain channel SKU and map to an existing Finished Product Item</x:v>
      </x:c>
    </x:row>
    <x:row r="39">
      <x:c r="A39" s="15" t="str">
        <x:v>RYNO SUPER CLIP 24</x:v>
      </x:c>
      <x:c r="B39" s="15" t="str">
        <x:v>AMZ</x:v>
      </x:c>
      <x:c r="C39" s="15" t="str">
        <x:v>Amazon</x:v>
      </x:c>
      <x:c r="D39" s="22" t="n">
        <x:v>89</x:v>
      </x:c>
      <x:c r="E39" s="15"/>
      <x:c r="F39" s="15"/>
      <x:c r="G39" s="23" t="str">
        <x:v>Blocked — missing SKU</x:v>
      </x:c>
      <x:c r="H39" s="15" t="str">
        <x:v>Obtain channel SKU and map to an existing Finished Product Item</x:v>
      </x:c>
    </x:row>
    <x:row r="40">
      <x:c r="A40" s="15" t="str">
        <x:v>RYNO SUPER CLIP 48</x:v>
      </x:c>
      <x:c r="B40" s="15" t="str">
        <x:v>AMZ</x:v>
      </x:c>
      <x:c r="C40" s="15" t="str">
        <x:v>Amazon</x:v>
      </x:c>
      <x:c r="D40" s="22" t="n">
        <x:v>72</x:v>
      </x:c>
      <x:c r="E40" s="15"/>
      <x:c r="F40" s="15"/>
      <x:c r="G40" s="23" t="str">
        <x:v>Blocked — missing SKU</x:v>
      </x:c>
      <x:c r="H40" s="15" t="str">
        <x:v>Obtain channel SKU and map to an existing Finished Product Item</x:v>
      </x:c>
    </x:row>
    <x:row r="41">
      <x:c r="A41" s="15" t="str">
        <x:v>RYNO SUPER CLIP 48</x:v>
      </x:c>
      <x:c r="B41" s="15" t="str">
        <x:v>BLI</x:v>
      </x:c>
      <x:c r="C41" s="15" t="str">
        <x:v>Blinkit</x:v>
      </x:c>
      <x:c r="D41" s="22" t="n">
        <x:v>37</x:v>
      </x:c>
      <x:c r="E41" s="15"/>
      <x:c r="F41" s="15"/>
      <x:c r="G41" s="23" t="str">
        <x:v>Blocked — missing SKU</x:v>
      </x:c>
      <x:c r="H41" s="15" t="str">
        <x:v>Obtain channel SKU and map to an existing Finished Product Item</x:v>
      </x:c>
    </x:row>
    <x:row r="42">
      <x:c r="A42" s="15" t="str">
        <x:v>RYNO SUPER CLIP 48</x:v>
      </x:c>
      <x:c r="B42" s="15" t="str">
        <x:v>INS</x:v>
      </x:c>
      <x:c r="C42" s="15" t="str">
        <x:v>Instamart</x:v>
      </x:c>
      <x:c r="D42" s="22" t="n">
        <x:v>53</x:v>
      </x:c>
      <x:c r="E42" s="15"/>
      <x:c r="F42" s="15"/>
      <x:c r="G42" s="23" t="str">
        <x:v>Blocked — missing SKU</x:v>
      </x:c>
      <x:c r="H42" s="15" t="str">
        <x:v>Obtain channel SKU and map to an existing Finished Product Item</x:v>
      </x:c>
    </x:row>
    <x:row r="43">
      <x:c r="A43" s="15" t="str">
        <x:v>WHITE ULTIMATE HANGER 20</x:v>
      </x:c>
      <x:c r="B43" s="15" t="str">
        <x:v>AMZ</x:v>
      </x:c>
      <x:c r="C43" s="15" t="str">
        <x:v>Amazon</x:v>
      </x:c>
      <x:c r="D43" s="22" t="n">
        <x:v>26</x:v>
      </x:c>
      <x:c r="E43" s="15"/>
      <x:c r="F43" s="15"/>
      <x:c r="G43" s="23" t="str">
        <x:v>Blocked — missing SKU</x:v>
      </x:c>
      <x:c r="H43" s="15" t="str">
        <x:v>Obtain channel SKU and map to an existing Finished Product Item</x:v>
      </x:c>
    </x:row>
    <x:row r="44">
      <x:c r="A44" s="15" t="str">
        <x:v>WHITE ULTIMATE HANGER 20</x:v>
      </x:c>
      <x:c r="B44" s="15" t="str">
        <x:v>BLI</x:v>
      </x:c>
      <x:c r="C44" s="15" t="str">
        <x:v>Blinkit</x:v>
      </x:c>
      <x:c r="D44" s="22" t="n">
        <x:v>65</x:v>
      </x:c>
      <x:c r="E44" s="15"/>
      <x:c r="F44" s="15"/>
      <x:c r="G44" s="23" t="str">
        <x:v>Blocked — missing SKU</x:v>
      </x:c>
      <x:c r="H44" s="15" t="str">
        <x:v>Obtain channel SKU and map to an existing Finished Product Item</x:v>
      </x:c>
    </x:row>
    <x:row r="45">
      <x:c r="A45" s="15" t="str">
        <x:v>WHITE ULTIMATE HANGER 20</x:v>
      </x:c>
      <x:c r="B45" s="15" t="str">
        <x:v>INS</x:v>
      </x:c>
      <x:c r="C45" s="15" t="str">
        <x:v>Instamart</x:v>
      </x:c>
      <x:c r="D45" s="22" t="n">
        <x:v>49</x:v>
      </x:c>
      <x:c r="E45" s="15"/>
      <x:c r="F45" s="15"/>
      <x:c r="G45" s="23" t="str">
        <x:v>Blocked — missing SKU</x:v>
      </x:c>
      <x:c r="H45" s="15" t="str">
        <x:v>Obtain channel SKU and map to an existing Finished Product Item</x:v>
      </x:c>
    </x:row>
    <x:row r="46">
      <x:c r="A46" s="15" t="str">
        <x:v>WHITE-GREY ULTIMATE HANGER 20</x:v>
      </x:c>
      <x:c r="B46" s="15" t="str">
        <x:v>AMZ</x:v>
      </x:c>
      <x:c r="C46" s="15" t="str">
        <x:v>Amazon</x:v>
      </x:c>
      <x:c r="D46" s="22" t="n">
        <x:v>92</x:v>
      </x:c>
      <x:c r="E46" s="15"/>
      <x:c r="F46" s="15"/>
      <x:c r="G46" s="23" t="str">
        <x:v>Blocked — missing SKU</x:v>
      </x:c>
      <x:c r="H46" s="15" t="str">
        <x:v>Obtain channel SKU and map to an existing Finished Product Item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21" hidden="0" customWidth="1"/>
    <x:col min="4" max="4" width="10" hidden="0" customWidth="1"/>
    <x:col min="5" max="5" width="15" hidden="0" customWidth="1"/>
    <x:col min="6" max="6" width="38" hidden="0" customWidth="1"/>
    <x:col min="7" max="7" width="14" hidden="0" customWidth="1"/>
    <x:col min="8" max="8" width="34" hidden="0" customWidth="1"/>
  </x:cols>
  <x:sheetData>
    <x:row r="1" ht="28" customHeight="1">
      <x:c r="A1" s="14" t="str">
        <x:v>Extracted BOM / Component Mapping</x:v>
      </x:c>
      <x:c r="B1" s="15"/>
      <x:c r="C1" s="15"/>
      <x:c r="D1" s="15"/>
      <x:c r="E1" s="15"/>
      <x:c r="F1" s="15"/>
      <x:c r="G1" s="15"/>
      <x:c r="H1" s="15"/>
    </x:row>
    <x:row r="2" ht="30" customHeight="1">
      <x:c r="A2" s="16" t="str">
        <x:v>Each row is a proposed configurable BOM line. Spring and rivet dependencies were flattened to per-finished-product quantities so calculation has no hidden material-to-material formula.</x:v>
      </x:c>
      <x:c r="B2" s="15"/>
      <x:c r="C2" s="15"/>
      <x:c r="D2" s="15"/>
      <x:c r="E2" s="15"/>
      <x:c r="F2" s="15"/>
      <x:c r="G2" s="15"/>
      <x:c r="H2" s="15"/>
    </x:row>
    <x:row r="3" ht="24" customHeight="1">
      <x:c r="A3" s="17" t="str">
        <x:v>Finished Product</x:v>
      </x:c>
      <x:c r="B3" s="17" t="str">
        <x:v>Component / Material</x:v>
      </x:c>
      <x:c r="C3" s="17" t="str">
        <x:v>Quantity per Finished Unit</x:v>
      </x:c>
      <x:c r="D3" s="17" t="str">
        <x:v>Unit</x:v>
      </x:c>
      <x:c r="E3" s="17" t="str">
        <x:v>Workbook Source</x:v>
      </x:c>
      <x:c r="F3" s="17" t="str">
        <x:v>Extraction Note</x:v>
      </x:c>
      <x:c r="G3" s="17" t="str">
        <x:v>Match Status</x:v>
      </x:c>
      <x:c r="H3" s="17" t="str">
        <x:v>Migration Action</x:v>
      </x:c>
    </x:row>
    <x:row r="4">
      <x:c r="A4" s="15" t="str">
        <x:v>BLACK ULTIMATE HANGER 20</x:v>
      </x:c>
      <x:c r="B4" s="15" t="str">
        <x:v>BLACK HANGER</x:v>
      </x:c>
      <x:c r="C4" s="25" t="n">
        <x:v>20</x:v>
      </x:c>
      <x:c r="D4" s="15" t="str">
        <x:v>Pcs</x:v>
      </x:c>
      <x:c r="E4" s="15" t="str">
        <x:v>ADU!B7</x:v>
      </x:c>
      <x:c r="F4" s="15" t="str">
        <x:v>Direct workbook formula</x:v>
      </x:c>
      <x:c r="G4" s="18" t="str">
        <x:v>Unmatched</x:v>
      </x:c>
      <x:c r="H4" s="15" t="str">
        <x:v>Map both Items, then save BOM</x:v>
      </x:c>
    </x:row>
    <x:row r="5">
      <x:c r="A5" s="15" t="str">
        <x:v>BLACK ULTIMATE HANGER 20</x:v>
      </x:c>
      <x:c r="B5" s="15" t="str">
        <x:v>MH HANGER BOX</x:v>
      </x:c>
      <x:c r="C5" s="25" t="n">
        <x:v>1</x:v>
      </x:c>
      <x:c r="D5" s="15" t="str">
        <x:v>Pcs</x:v>
      </x:c>
      <x:c r="E5" s="15" t="str">
        <x:v>ADU!B37</x:v>
      </x:c>
      <x:c r="F5" s="15" t="str">
        <x:v>Direct workbook formula</x:v>
      </x:c>
      <x:c r="G5" s="18" t="str">
        <x:v>Unmatched</x:v>
      </x:c>
      <x:c r="H5" s="15" t="str">
        <x:v>Map both Items, then save BOM</x:v>
      </x:c>
    </x:row>
    <x:row r="6">
      <x:c r="A6" s="15" t="str">
        <x:v>BLACK ULTIMATE HANGER 25</x:v>
      </x:c>
      <x:c r="B6" s="15" t="str">
        <x:v>BLACK HANGER</x:v>
      </x:c>
      <x:c r="C6" s="25" t="n">
        <x:v>25</x:v>
      </x:c>
      <x:c r="D6" s="15" t="str">
        <x:v>Pcs</x:v>
      </x:c>
      <x:c r="E6" s="15" t="str">
        <x:v>ADU!B7</x:v>
      </x:c>
      <x:c r="F6" s="15" t="str"/>
      <x:c r="G6" s="18" t="str">
        <x:v>Unmatched</x:v>
      </x:c>
      <x:c r="H6" s="15" t="str">
        <x:v>Map both Items, then save BOM</x:v>
      </x:c>
    </x:row>
    <x:row r="7">
      <x:c r="A7" s="15" t="str">
        <x:v>BLACK ULTIMATE HANGER 25</x:v>
      </x:c>
      <x:c r="B7" s="15" t="str">
        <x:v>BH-25 WHITE BOX</x:v>
      </x:c>
      <x:c r="C7" s="25" t="n">
        <x:v>1</x:v>
      </x:c>
      <x:c r="D7" s="15" t="str">
        <x:v>Pcs</x:v>
      </x:c>
      <x:c r="E7" s="15" t="str">
        <x:v>ADU!B38</x:v>
      </x:c>
      <x:c r="F7" s="15" t="str"/>
      <x:c r="G7" s="18" t="str">
        <x:v>Unmatched</x:v>
      </x:c>
      <x:c r="H7" s="15" t="str">
        <x:v>Map both Items, then save BOM</x:v>
      </x:c>
    </x:row>
    <x:row r="8">
      <x:c r="A8" s="15" t="str">
        <x:v>BLACK ULTIMATE HANGER 40</x:v>
      </x:c>
      <x:c r="B8" s="15" t="str">
        <x:v>BLACK HANGER</x:v>
      </x:c>
      <x:c r="C8" s="25" t="n">
        <x:v>40</x:v>
      </x:c>
      <x:c r="D8" s="15" t="str">
        <x:v>Pcs</x:v>
      </x:c>
      <x:c r="E8" s="15" t="str">
        <x:v>ADU!B7</x:v>
      </x:c>
      <x:c r="F8" s="15" t="str"/>
      <x:c r="G8" s="18" t="str">
        <x:v>Unmatched</x:v>
      </x:c>
      <x:c r="H8" s="15" t="str">
        <x:v>Map both Items, then save BOM</x:v>
      </x:c>
    </x:row>
    <x:row r="9">
      <x:c r="A9" s="15" t="str">
        <x:v>BLACK ULTIMATE HANGER 40</x:v>
      </x:c>
      <x:c r="B9" s="15" t="str">
        <x:v>BH-40 WHITE BOX</x:v>
      </x:c>
      <x:c r="C9" s="25" t="n">
        <x:v>1</x:v>
      </x:c>
      <x:c r="D9" s="15" t="str">
        <x:v>Pcs</x:v>
      </x:c>
      <x:c r="E9" s="15" t="str">
        <x:v>ADU!B39</x:v>
      </x:c>
      <x:c r="F9" s="15" t="str"/>
      <x:c r="G9" s="18" t="str">
        <x:v>Unmatched</x:v>
      </x:c>
      <x:c r="H9" s="15" t="str">
        <x:v>Map both Items, then save BOM</x:v>
      </x:c>
    </x:row>
    <x:row r="10">
      <x:c r="A10" s="15" t="str">
        <x:v>FLEXI-16</x:v>
      </x:c>
      <x:c r="B10" s="15" t="str">
        <x:v>FLEXI BLACK HANGER</x:v>
      </x:c>
      <x:c r="C10" s="25" t="n">
        <x:v>16</x:v>
      </x:c>
      <x:c r="D10" s="15" t="str">
        <x:v>Pcs</x:v>
      </x:c>
      <x:c r="E10" s="15" t="str">
        <x:v>ADU!B10</x:v>
      </x:c>
      <x:c r="F10" s="15" t="str"/>
      <x:c r="G10" s="18" t="str">
        <x:v>Unmatched</x:v>
      </x:c>
      <x:c r="H10" s="15" t="str">
        <x:v>Map both Items, then save BOM</x:v>
      </x:c>
    </x:row>
    <x:row r="11">
      <x:c r="A11" s="15" t="str">
        <x:v>FLEXI-16</x:v>
      </x:c>
      <x:c r="B11" s="15" t="str">
        <x:v>FLEXI-16 BOX</x:v>
      </x:c>
      <x:c r="C11" s="25" t="n">
        <x:v>1</x:v>
      </x:c>
      <x:c r="D11" s="15" t="str">
        <x:v>Pcs</x:v>
      </x:c>
      <x:c r="E11" s="15" t="str">
        <x:v>ADU!B36</x:v>
      </x:c>
      <x:c r="F11" s="15" t="str"/>
      <x:c r="G11" s="18" t="str">
        <x:v>Unmatched</x:v>
      </x:c>
      <x:c r="H11" s="15" t="str">
        <x:v>Map both Items, then save BOM</x:v>
      </x:c>
    </x:row>
    <x:row r="12">
      <x:c r="A12" s="15" t="str">
        <x:v>DELUX CLIP 24 WITH DELUX BOX</x:v>
      </x:c>
      <x:c r="B12" s="15" t="str">
        <x:v>DELUX 222</x:v>
      </x:c>
      <x:c r="C12" s="25" t="n">
        <x:v>1</x:v>
      </x:c>
      <x:c r="D12" s="15" t="str">
        <x:v>Pcs</x:v>
      </x:c>
      <x:c r="E12" s="15" t="str">
        <x:v>ADU!B20</x:v>
      </x:c>
      <x:c r="F12" s="15" t="str"/>
      <x:c r="G12" s="18" t="str">
        <x:v>Unmatched</x:v>
      </x:c>
      <x:c r="H12" s="15" t="str">
        <x:v>Map both Items, then save BOM</x:v>
      </x:c>
    </x:row>
    <x:row r="13">
      <x:c r="A13" s="15" t="str">
        <x:v>DELUX CLIP 24 WITH DELUX BOX</x:v>
      </x:c>
      <x:c r="B13" s="15" t="str">
        <x:v>DELUX CLIP (DZN)</x:v>
      </x:c>
      <x:c r="C13" s="25" t="n">
        <x:v>2</x:v>
      </x:c>
      <x:c r="D13" s="15" t="str">
        <x:v>Dzn</x:v>
      </x:c>
      <x:c r="E13" s="15" t="str">
        <x:v>ADU!B27</x:v>
      </x:c>
      <x:c r="F13" s="15" t="str">
        <x:v>24 clips / 12</x:v>
      </x:c>
      <x:c r="G13" s="18" t="str">
        <x:v>Unmatched</x:v>
      </x:c>
      <x:c r="H13" s="15" t="str">
        <x:v>Map both Items, then save BOM</x:v>
      </x:c>
    </x:row>
    <x:row r="14">
      <x:c r="A14" s="15" t="str">
        <x:v>DELUX CLIP 48 WITH DELUX BOX</x:v>
      </x:c>
      <x:c r="B14" s="15" t="str">
        <x:v>DELUX 444</x:v>
      </x:c>
      <x:c r="C14" s="25" t="n">
        <x:v>1</x:v>
      </x:c>
      <x:c r="D14" s="15" t="str">
        <x:v>Pcs</x:v>
      </x:c>
      <x:c r="E14" s="15" t="str">
        <x:v>ADU!B22</x:v>
      </x:c>
      <x:c r="F14" s="15" t="str"/>
      <x:c r="G14" s="18" t="str">
        <x:v>Unmatched</x:v>
      </x:c>
      <x:c r="H14" s="15" t="str">
        <x:v>Map both Items, then save BOM</x:v>
      </x:c>
    </x:row>
    <x:row r="15">
      <x:c r="A15" s="15" t="str">
        <x:v>DELUX CLIP 48 WITH DELUX BOX</x:v>
      </x:c>
      <x:c r="B15" s="15" t="str">
        <x:v>DELUX CLIP (DZN)</x:v>
      </x:c>
      <x:c r="C15" s="25" t="n">
        <x:v>4</x:v>
      </x:c>
      <x:c r="D15" s="15" t="str">
        <x:v>Dzn</x:v>
      </x:c>
      <x:c r="E15" s="15" t="str">
        <x:v>ADU!B27</x:v>
      </x:c>
      <x:c r="F15" s="15" t="str">
        <x:v>48 clips / 12</x:v>
      </x:c>
      <x:c r="G15" s="18" t="str">
        <x:v>Unmatched</x:v>
      </x:c>
      <x:c r="H15" s="15" t="str">
        <x:v>Map both Items, then save BOM</x:v>
      </x:c>
    </x:row>
    <x:row r="16">
      <x:c r="A16" s="15" t="str">
        <x:v>DELUX SQUARE 25 CLIP HANGER</x:v>
      </x:c>
      <x:c r="B16" s="15" t="str">
        <x:v>DELUX HANGER</x:v>
      </x:c>
      <x:c r="C16" s="25" t="n">
        <x:v>1</x:v>
      </x:c>
      <x:c r="D16" s="15" t="str">
        <x:v>Pcs</x:v>
      </x:c>
      <x:c r="E16" s="15" t="str">
        <x:v>ADU!B28</x:v>
      </x:c>
      <x:c r="F16" s="15" t="str"/>
      <x:c r="G16" s="18" t="str">
        <x:v>Unmatched</x:v>
      </x:c>
      <x:c r="H16" s="15" t="str">
        <x:v>Map both Items, then save BOM</x:v>
      </x:c>
    </x:row>
    <x:row r="17">
      <x:c r="A17" s="15" t="str">
        <x:v>DELUX SQUARE 25 CLIP HANGER</x:v>
      </x:c>
      <x:c r="B17" s="15" t="str">
        <x:v>WHITE BOX SQUARE HANGER</x:v>
      </x:c>
      <x:c r="C17" s="25" t="n">
        <x:v>1</x:v>
      </x:c>
      <x:c r="D17" s="15" t="str">
        <x:v>Pcs</x:v>
      </x:c>
      <x:c r="E17" s="15" t="str">
        <x:v>ADU!B34</x:v>
      </x:c>
      <x:c r="F17" s="15" t="str"/>
      <x:c r="G17" s="18" t="str">
        <x:v>Unmatched</x:v>
      </x:c>
      <x:c r="H17" s="15" t="str">
        <x:v>Map both Items, then save BOM</x:v>
      </x:c>
    </x:row>
    <x:row r="18">
      <x:c r="A18" s="15" t="str">
        <x:v>GREY ULTIMATE HANGER 20</x:v>
      </x:c>
      <x:c r="B18" s="15" t="str">
        <x:v>GREY HANGER</x:v>
      </x:c>
      <x:c r="C18" s="25" t="n">
        <x:v>20</x:v>
      </x:c>
      <x:c r="D18" s="15" t="str">
        <x:v>Pcs</x:v>
      </x:c>
      <x:c r="E18" s="15" t="str">
        <x:v>ADU!B9</x:v>
      </x:c>
      <x:c r="F18" s="15" t="str"/>
      <x:c r="G18" s="18" t="str">
        <x:v>Unmatched</x:v>
      </x:c>
      <x:c r="H18" s="15" t="str">
        <x:v>Map both Items, then save BOM</x:v>
      </x:c>
    </x:row>
    <x:row r="19">
      <x:c r="A19" s="15" t="str">
        <x:v>GREY ULTIMATE HANGER 20</x:v>
      </x:c>
      <x:c r="B19" s="15" t="str">
        <x:v>MH HANGER BOX</x:v>
      </x:c>
      <x:c r="C19" s="25" t="n">
        <x:v>1</x:v>
      </x:c>
      <x:c r="D19" s="15" t="str">
        <x:v>Pcs</x:v>
      </x:c>
      <x:c r="E19" s="15" t="str">
        <x:v>ADU!B37</x:v>
      </x:c>
      <x:c r="F19" s="15" t="str"/>
      <x:c r="G19" s="18" t="str">
        <x:v>Unmatched</x:v>
      </x:c>
      <x:c r="H19" s="15" t="str">
        <x:v>Map both Items, then save BOM</x:v>
      </x:c>
    </x:row>
    <x:row r="20">
      <x:c r="A20" s="15" t="str">
        <x:v>MULTICOLOR HANGER 20</x:v>
      </x:c>
      <x:c r="B20" s="15" t="str">
        <x:v>MH HANGER</x:v>
      </x:c>
      <x:c r="C20" s="25" t="n">
        <x:v>20</x:v>
      </x:c>
      <x:c r="D20" s="15" t="str">
        <x:v>Pcs</x:v>
      </x:c>
      <x:c r="E20" s="15" t="str">
        <x:v>ADU!B6</x:v>
      </x:c>
      <x:c r="F20" s="15" t="str"/>
      <x:c r="G20" s="18" t="str">
        <x:v>Unmatched</x:v>
      </x:c>
      <x:c r="H20" s="15" t="str">
        <x:v>Map both Items, then save BOM</x:v>
      </x:c>
    </x:row>
    <x:row r="21">
      <x:c r="A21" s="15" t="str">
        <x:v>MULTICOLOR HANGER 20</x:v>
      </x:c>
      <x:c r="B21" s="15" t="str">
        <x:v>MH HANGER BOX</x:v>
      </x:c>
      <x:c r="C21" s="25" t="n">
        <x:v>1</x:v>
      </x:c>
      <x:c r="D21" s="15" t="str">
        <x:v>Pcs</x:v>
      </x:c>
      <x:c r="E21" s="15" t="str">
        <x:v>ADU!B37</x:v>
      </x:c>
      <x:c r="F21" s="15" t="str"/>
      <x:c r="G21" s="18" t="str">
        <x:v>Unmatched</x:v>
      </x:c>
      <x:c r="H21" s="15" t="str">
        <x:v>Map both Items, then save BOM</x:v>
      </x:c>
    </x:row>
    <x:row r="22">
      <x:c r="A22" s="15" t="str">
        <x:v>ORA 20 WITH STORAGE BOX</x:v>
      </x:c>
      <x:c r="B22" s="15" t="str">
        <x:v>KEEPER 55</x:v>
      </x:c>
      <x:c r="C22" s="25" t="n">
        <x:v>1</x:v>
      </x:c>
      <x:c r="D22" s="15" t="str">
        <x:v>Pcs</x:v>
      </x:c>
      <x:c r="E22" s="15" t="str">
        <x:v>ADU!B18</x:v>
      </x:c>
      <x:c r="F22" s="15" t="str"/>
      <x:c r="G22" s="18" t="str">
        <x:v>Unmatched</x:v>
      </x:c>
      <x:c r="H22" s="15" t="str">
        <x:v>Map both Items, then save BOM</x:v>
      </x:c>
    </x:row>
    <x:row r="23">
      <x:c r="A23" s="15" t="str">
        <x:v>ORA 20 WITH STORAGE BOX</x:v>
      </x:c>
      <x:c r="B23" s="15" t="str">
        <x:v>WHITE BOX K-55</x:v>
      </x:c>
      <x:c r="C23" s="25" t="n">
        <x:v>1</x:v>
      </x:c>
      <x:c r="D23" s="15" t="str">
        <x:v>Pcs</x:v>
      </x:c>
      <x:c r="E23" s="15" t="str">
        <x:v>ADU!B31</x:v>
      </x:c>
      <x:c r="F23" s="15" t="str"/>
      <x:c r="G23" s="18" t="str">
        <x:v>Unmatched</x:v>
      </x:c>
      <x:c r="H23" s="15" t="str">
        <x:v>Map both Items, then save BOM</x:v>
      </x:c>
    </x:row>
    <x:row r="24">
      <x:c r="A24" s="15" t="str">
        <x:v>ORA 36 WITH STORAGE BOX</x:v>
      </x:c>
      <x:c r="B24" s="15" t="str">
        <x:v>KEEPER 66</x:v>
      </x:c>
      <x:c r="C24" s="25" t="n">
        <x:v>1</x:v>
      </x:c>
      <x:c r="D24" s="15" t="str">
        <x:v>Pcs</x:v>
      </x:c>
      <x:c r="E24" s="15" t="str">
        <x:v>ADU!B19</x:v>
      </x:c>
      <x:c r="F24" s="15" t="str"/>
      <x:c r="G24" s="18" t="str">
        <x:v>Unmatched</x:v>
      </x:c>
      <x:c r="H24" s="15" t="str">
        <x:v>Map both Items, then save BOM</x:v>
      </x:c>
    </x:row>
    <x:row r="25">
      <x:c r="A25" s="15" t="str">
        <x:v>ORA 36 WITH STORAGE BOX</x:v>
      </x:c>
      <x:c r="B25" s="15" t="str">
        <x:v>WHITE BOX K-66</x:v>
      </x:c>
      <x:c r="C25" s="25" t="n">
        <x:v>1</x:v>
      </x:c>
      <x:c r="D25" s="15" t="str">
        <x:v>Pcs</x:v>
      </x:c>
      <x:c r="E25" s="15" t="str">
        <x:v>ADU!B33</x:v>
      </x:c>
      <x:c r="F25" s="15" t="str"/>
      <x:c r="G25" s="18" t="str">
        <x:v>Unmatched</x:v>
      </x:c>
      <x:c r="H25" s="15" t="str">
        <x:v>Map both Items, then save BOM</x:v>
      </x:c>
    </x:row>
    <x:row r="26">
      <x:c r="A26" s="15" t="str">
        <x:v>OREO CLIP 36 WITH STORAGE BOX</x:v>
      </x:c>
      <x:c r="B26" s="15" t="str">
        <x:v>KEEPER 44</x:v>
      </x:c>
      <x:c r="C26" s="25" t="n">
        <x:v>1</x:v>
      </x:c>
      <x:c r="D26" s="15" t="str">
        <x:v>Pcs</x:v>
      </x:c>
      <x:c r="E26" s="15" t="str">
        <x:v>ADU!B17</x:v>
      </x:c>
      <x:c r="F26" s="15" t="str"/>
      <x:c r="G26" s="18" t="str">
        <x:v>Unmatched</x:v>
      </x:c>
      <x:c r="H26" s="15" t="str">
        <x:v>Map both Items, then save BOM</x:v>
      </x:c>
    </x:row>
    <x:row r="27">
      <x:c r="A27" s="15" t="str">
        <x:v>OREO CLIP 36 WITH STORAGE BOX</x:v>
      </x:c>
      <x:c r="B27" s="15" t="str">
        <x:v>OREO CLIP (DZN)</x:v>
      </x:c>
      <x:c r="C27" s="25" t="n">
        <x:v>3</x:v>
      </x:c>
      <x:c r="D27" s="15" t="str">
        <x:v>Dzn</x:v>
      </x:c>
      <x:c r="E27" s="15" t="str">
        <x:v>ADU!B25</x:v>
      </x:c>
      <x:c r="F27" s="15" t="str">
        <x:v>36 clips / 12</x:v>
      </x:c>
      <x:c r="G27" s="18" t="str">
        <x:v>Unmatched</x:v>
      </x:c>
      <x:c r="H27" s="15" t="str">
        <x:v>Map both Items, then save BOM</x:v>
      </x:c>
    </x:row>
    <x:row r="28">
      <x:c r="A28" s="15" t="str">
        <x:v>OREO CLIP 60 WITH STORAGE BOX</x:v>
      </x:c>
      <x:c r="B28" s="15" t="str">
        <x:v>KEEPER 55</x:v>
      </x:c>
      <x:c r="C28" s="25" t="n">
        <x:v>1</x:v>
      </x:c>
      <x:c r="D28" s="15" t="str">
        <x:v>Pcs</x:v>
      </x:c>
      <x:c r="E28" s="15" t="str">
        <x:v>ADU!B18</x:v>
      </x:c>
      <x:c r="F28" s="15" t="str"/>
      <x:c r="G28" s="18" t="str">
        <x:v>Unmatched</x:v>
      </x:c>
      <x:c r="H28" s="15" t="str">
        <x:v>Map both Items, then save BOM</x:v>
      </x:c>
    </x:row>
    <x:row r="29">
      <x:c r="A29" s="15" t="str">
        <x:v>OREO CLIP 60 WITH STORAGE BOX</x:v>
      </x:c>
      <x:c r="B29" s="15" t="str">
        <x:v>OREO CLIP (DZN)</x:v>
      </x:c>
      <x:c r="C29" s="25" t="n">
        <x:v>5</x:v>
      </x:c>
      <x:c r="D29" s="15" t="str">
        <x:v>Dzn</x:v>
      </x:c>
      <x:c r="E29" s="15" t="str">
        <x:v>ADU!B25</x:v>
      </x:c>
      <x:c r="F29" s="15" t="str">
        <x:v>60 clips / 12</x:v>
      </x:c>
      <x:c r="G29" s="18" t="str">
        <x:v>Unmatched</x:v>
      </x:c>
      <x:c r="H29" s="15" t="str">
        <x:v>Map both Items, then save BOM</x:v>
      </x:c>
    </x:row>
    <x:row r="30">
      <x:c r="A30" s="15" t="str">
        <x:v>OREO CLIP 60 WITH STORAGE BOX</x:v>
      </x:c>
      <x:c r="B30" s="15" t="str">
        <x:v>WHITE BOX K-55</x:v>
      </x:c>
      <x:c r="C30" s="25" t="n">
        <x:v>1</x:v>
      </x:c>
      <x:c r="D30" s="15" t="str">
        <x:v>Pcs</x:v>
      </x:c>
      <x:c r="E30" s="15" t="str">
        <x:v>ADU!B31</x:v>
      </x:c>
      <x:c r="F30" s="15" t="str"/>
      <x:c r="G30" s="18" t="str">
        <x:v>Unmatched</x:v>
      </x:c>
      <x:c r="H30" s="15" t="str">
        <x:v>Map both Items, then save BOM</x:v>
      </x:c>
    </x:row>
    <x:row r="31">
      <x:c r="A31" s="15" t="str">
        <x:v>OREO SPIN HANGER</x:v>
      </x:c>
      <x:c r="B31" s="15" t="str">
        <x:v>SPIN HANGER</x:v>
      </x:c>
      <x:c r="C31" s="25" t="n">
        <x:v>1</x:v>
      </x:c>
      <x:c r="D31" s="15" t="str">
        <x:v>Pcs</x:v>
      </x:c>
      <x:c r="E31" s="15" t="str">
        <x:v>ADU!B29</x:v>
      </x:c>
      <x:c r="F31" s="15" t="str"/>
      <x:c r="G31" s="18" t="str">
        <x:v>Unmatched</x:v>
      </x:c>
      <x:c r="H31" s="15" t="str">
        <x:v>Map both Items, then save BOM</x:v>
      </x:c>
    </x:row>
    <x:row r="32">
      <x:c r="A32" s="15" t="str">
        <x:v>OREO SQUARE 25 CLIP HANGER</x:v>
      </x:c>
      <x:c r="B32" s="15" t="str">
        <x:v>SQUARE HANGER</x:v>
      </x:c>
      <x:c r="C32" s="25" t="n">
        <x:v>1</x:v>
      </x:c>
      <x:c r="D32" s="15" t="str">
        <x:v>Pcs</x:v>
      </x:c>
      <x:c r="E32" s="15" t="str">
        <x:v>ADU!B26</x:v>
      </x:c>
      <x:c r="F32" s="15" t="str"/>
      <x:c r="G32" s="18" t="str">
        <x:v>Unmatched</x:v>
      </x:c>
      <x:c r="H32" s="15" t="str">
        <x:v>Map both Items, then save BOM</x:v>
      </x:c>
    </x:row>
    <x:row r="33">
      <x:c r="A33" s="15" t="str">
        <x:v>OREO SQUARE 25 CLIP HANGER</x:v>
      </x:c>
      <x:c r="B33" s="15" t="str">
        <x:v>WHITE BOX SQUARE HANGER</x:v>
      </x:c>
      <x:c r="C33" s="25" t="n">
        <x:v>1</x:v>
      </x:c>
      <x:c r="D33" s="15" t="str">
        <x:v>Pcs</x:v>
      </x:c>
      <x:c r="E33" s="15" t="str">
        <x:v>ADU!B34</x:v>
      </x:c>
      <x:c r="F33" s="15" t="str"/>
      <x:c r="G33" s="18" t="str">
        <x:v>Unmatched</x:v>
      </x:c>
      <x:c r="H33" s="15" t="str">
        <x:v>Map both Items, then save BOM</x:v>
      </x:c>
    </x:row>
    <x:row r="34">
      <x:c r="A34" s="15" t="str">
        <x:v>RAINBOW 40 WITH DELUX STORAGE BOX</x:v>
      </x:c>
      <x:c r="B34" s="15" t="str">
        <x:v>RAINBOW YGP</x:v>
      </x:c>
      <x:c r="C34" s="25" t="n">
        <x:v>0.189873417721519</x:v>
      </x:c>
      <x:c r="D34" s="15" t="str">
        <x:v>Kg</x:v>
      </x:c>
      <x:c r="E34" s="15" t="str">
        <x:v>ADU!B3</x:v>
      </x:c>
      <x:c r="F34" s="15" t="str"/>
      <x:c r="G34" s="18" t="str">
        <x:v>Unmatched</x:v>
      </x:c>
      <x:c r="H34" s="15" t="str">
        <x:v>Map both Items, then save BOM</x:v>
      </x:c>
    </x:row>
    <x:row r="35">
      <x:c r="A35" s="15" t="str">
        <x:v>RAINBOW 40 WITH DELUX STORAGE BOX</x:v>
      </x:c>
      <x:c r="B35" s="15" t="str">
        <x:v>RAINBOW BLUE</x:v>
      </x:c>
      <x:c r="C35" s="25" t="n">
        <x:v>0.06329113924050633</x:v>
      </x:c>
      <x:c r="D35" s="15" t="str">
        <x:v>Kg</x:v>
      </x:c>
      <x:c r="E35" s="15" t="str">
        <x:v>ADU!B5</x:v>
      </x:c>
      <x:c r="F35" s="15" t="str"/>
      <x:c r="G35" s="18" t="str">
        <x:v>Unmatched</x:v>
      </x:c>
      <x:c r="H35" s="15" t="str">
        <x:v>Map both Items, then save BOM</x:v>
      </x:c>
    </x:row>
    <x:row r="36">
      <x:c r="A36" s="15" t="str">
        <x:v>RAINBOW 40 WITH DELUX STORAGE BOX</x:v>
      </x:c>
      <x:c r="B36" s="15" t="str">
        <x:v>DELUX 444</x:v>
      </x:c>
      <x:c r="C36" s="25" t="n">
        <x:v>1</x:v>
      </x:c>
      <x:c r="D36" s="15" t="str">
        <x:v>Pcs</x:v>
      </x:c>
      <x:c r="E36" s="15" t="str">
        <x:v>ADU!B22</x:v>
      </x:c>
      <x:c r="F36" s="15" t="str"/>
      <x:c r="G36" s="18" t="str">
        <x:v>Unmatched</x:v>
      </x:c>
      <x:c r="H36" s="15" t="str">
        <x:v>Map both Items, then save BOM</x:v>
      </x:c>
    </x:row>
    <x:row r="37">
      <x:c r="A37" s="15" t="str">
        <x:v>RAINBOW 40 WITH DELUX STORAGE BOX</x:v>
      </x:c>
      <x:c r="B37" s="15" t="str">
        <x:v>SPRING</x:v>
      </x:c>
      <x:c r="C37" s="25" t="n">
        <x:v>0.0379746835443038</x:v>
      </x:c>
      <x:c r="D37" s="15" t="str">
        <x:v>Kg</x:v>
      </x:c>
      <x:c r="E37" s="15" t="str">
        <x:v>ADU!B48</x:v>
      </x:c>
      <x:c r="F37" s="15" t="str">
        <x:v>Flattened 15% dependent formula</x:v>
      </x:c>
      <x:c r="G37" s="18" t="str">
        <x:v>Unmatched</x:v>
      </x:c>
      <x:c r="H37" s="15" t="str">
        <x:v>Map both Items, then save BOM</x:v>
      </x:c>
    </x:row>
    <x:row r="38">
      <x:c r="A38" s="15" t="str">
        <x:v>RAINBOW 40 WITH DELUX STORAGE BOX</x:v>
      </x:c>
      <x:c r="B38" s="15" t="str">
        <x:v>RIVET</x:v>
      </x:c>
      <x:c r="C38" s="25" t="n">
        <x:v>0.012658227848101266</x:v>
      </x:c>
      <x:c r="D38" s="15" t="str">
        <x:v>Kg</x:v>
      </x:c>
      <x:c r="E38" s="15" t="str">
        <x:v>ADU!B49</x:v>
      </x:c>
      <x:c r="F38" s="15" t="str">
        <x:v>Flattened 5% dependent formula</x:v>
      </x:c>
      <x:c r="G38" s="18" t="str">
        <x:v>Unmatched</x:v>
      </x:c>
      <x:c r="H38" s="15" t="str">
        <x:v>Map both Items, then save BOM</x:v>
      </x:c>
    </x:row>
    <x:row r="39">
      <x:c r="A39" s="15" t="str">
        <x:v>RAINBOWCLIP 36 WITH STORAGE BOX</x:v>
      </x:c>
      <x:c r="B39" s="15" t="str">
        <x:v>RAINBOW YGP</x:v>
      </x:c>
      <x:c r="C39" s="25" t="n">
        <x:v>0.17088607594936708</x:v>
      </x:c>
      <x:c r="D39" s="15" t="str">
        <x:v>Kg</x:v>
      </x:c>
      <x:c r="E39" s="15" t="str">
        <x:v>ADU!B3</x:v>
      </x:c>
      <x:c r="F39" s="15" t="str"/>
      <x:c r="G39" s="18" t="str">
        <x:v>Unmatched</x:v>
      </x:c>
      <x:c r="H39" s="15" t="str">
        <x:v>Map both Items, then save BOM</x:v>
      </x:c>
    </x:row>
    <x:row r="40">
      <x:c r="A40" s="15" t="str">
        <x:v>RAINBOWCLIP 36 WITH STORAGE BOX</x:v>
      </x:c>
      <x:c r="B40" s="15" t="str">
        <x:v>RAINBOW ORANGE</x:v>
      </x:c>
      <x:c r="C40" s="25" t="n">
        <x:v>0.056962025316455694</x:v>
      </x:c>
      <x:c r="D40" s="15" t="str">
        <x:v>Kg</x:v>
      </x:c>
      <x:c r="E40" s="15" t="str">
        <x:v>ADU!B4</x:v>
      </x:c>
      <x:c r="F40" s="15" t="str"/>
      <x:c r="G40" s="18" t="str">
        <x:v>Unmatched</x:v>
      </x:c>
      <x:c r="H40" s="15" t="str">
        <x:v>Map both Items, then save BOM</x:v>
      </x:c>
    </x:row>
    <x:row r="41">
      <x:c r="A41" s="15" t="str">
        <x:v>RAINBOWCLIP 36 WITH STORAGE BOX</x:v>
      </x:c>
      <x:c r="B41" s="15" t="str">
        <x:v>KEEPER 55</x:v>
      </x:c>
      <x:c r="C41" s="25" t="n">
        <x:v>1</x:v>
      </x:c>
      <x:c r="D41" s="15" t="str">
        <x:v>Pcs</x:v>
      </x:c>
      <x:c r="E41" s="15" t="str">
        <x:v>ADU!B18</x:v>
      </x:c>
      <x:c r="F41" s="15" t="str"/>
      <x:c r="G41" s="18" t="str">
        <x:v>Unmatched</x:v>
      </x:c>
      <x:c r="H41" s="15" t="str">
        <x:v>Map both Items, then save BOM</x:v>
      </x:c>
    </x:row>
    <x:row r="42">
      <x:c r="A42" s="15" t="str">
        <x:v>RAINBOWCLIP 36 WITH STORAGE BOX</x:v>
      </x:c>
      <x:c r="B42" s="15" t="str">
        <x:v>R-36 BOX K-55</x:v>
      </x:c>
      <x:c r="C42" s="25" t="n">
        <x:v>1</x:v>
      </x:c>
      <x:c r="D42" s="15" t="str">
        <x:v>Pcs</x:v>
      </x:c>
      <x:c r="E42" s="15" t="str">
        <x:v>ADU!B32</x:v>
      </x:c>
      <x:c r="F42" s="15" t="str"/>
      <x:c r="G42" s="18" t="str">
        <x:v>Unmatched</x:v>
      </x:c>
      <x:c r="H42" s="15" t="str">
        <x:v>Map both Items, then save BOM</x:v>
      </x:c>
    </x:row>
    <x:row r="43">
      <x:c r="A43" s="15" t="str">
        <x:v>RAINBOWCLIP 36 WITH STORAGE BOX</x:v>
      </x:c>
      <x:c r="B43" s="15" t="str">
        <x:v>SPRING</x:v>
      </x:c>
      <x:c r="C43" s="25" t="n">
        <x:v>0.03417721518987342</x:v>
      </x:c>
      <x:c r="D43" s="15" t="str">
        <x:v>Kg</x:v>
      </x:c>
      <x:c r="E43" s="15" t="str">
        <x:v>ADU!B48</x:v>
      </x:c>
      <x:c r="F43" s="15" t="str">
        <x:v>Flattened 15% dependent formula</x:v>
      </x:c>
      <x:c r="G43" s="18" t="str">
        <x:v>Unmatched</x:v>
      </x:c>
      <x:c r="H43" s="15" t="str">
        <x:v>Map both Items, then save BOM</x:v>
      </x:c>
    </x:row>
    <x:row r="44">
      <x:c r="A44" s="15" t="str">
        <x:v>RAINBOWCLIP 36 WITH STORAGE BOX</x:v>
      </x:c>
      <x:c r="B44" s="15" t="str">
        <x:v>RIVET</x:v>
      </x:c>
      <x:c r="C44" s="25" t="n">
        <x:v>0.01139240506329114</x:v>
      </x:c>
      <x:c r="D44" s="15" t="str">
        <x:v>Kg</x:v>
      </x:c>
      <x:c r="E44" s="15" t="str">
        <x:v>ADU!B49</x:v>
      </x:c>
      <x:c r="F44" s="15" t="str">
        <x:v>Flattened 5% dependent formula</x:v>
      </x:c>
      <x:c r="G44" s="18" t="str">
        <x:v>Unmatched</x:v>
      </x:c>
      <x:c r="H44" s="15" t="str">
        <x:v>Map both Items, then save BOM</x:v>
      </x:c>
    </x:row>
    <x:row r="45">
      <x:c r="A45" s="15" t="str">
        <x:v>RAINBOWCLIP 60 WITH STORAGE BOX</x:v>
      </x:c>
      <x:c r="B45" s="15" t="str">
        <x:v>RAINBOW YGP</x:v>
      </x:c>
      <x:c r="C45" s="25" t="n">
        <x:v>0.2848101265822785</x:v>
      </x:c>
      <x:c r="D45" s="15" t="str">
        <x:v>Kg</x:v>
      </x:c>
      <x:c r="E45" s="15" t="str">
        <x:v>ADU!B3</x:v>
      </x:c>
      <x:c r="F45" s="15" t="str"/>
      <x:c r="G45" s="18" t="str">
        <x:v>Unmatched</x:v>
      </x:c>
      <x:c r="H45" s="15" t="str">
        <x:v>Map both Items, then save BOM</x:v>
      </x:c>
    </x:row>
    <x:row r="46">
      <x:c r="A46" s="15" t="str">
        <x:v>RAINBOWCLIP 60 WITH STORAGE BOX</x:v>
      </x:c>
      <x:c r="B46" s="15" t="str">
        <x:v>RAINBOW ORANGE</x:v>
      </x:c>
      <x:c r="C46" s="25" t="n">
        <x:v>0.0949367088607595</x:v>
      </x:c>
      <x:c r="D46" s="15" t="str">
        <x:v>Kg</x:v>
      </x:c>
      <x:c r="E46" s="15" t="str">
        <x:v>ADU!B4</x:v>
      </x:c>
      <x:c r="F46" s="15" t="str"/>
      <x:c r="G46" s="18" t="str">
        <x:v>Unmatched</x:v>
      </x:c>
      <x:c r="H46" s="15" t="str">
        <x:v>Map both Items, then save BOM</x:v>
      </x:c>
    </x:row>
    <x:row r="47">
      <x:c r="A47" s="15" t="str">
        <x:v>RAINBOWCLIP 60 WITH STORAGE BOX</x:v>
      </x:c>
      <x:c r="B47" s="15" t="str">
        <x:v>KEEPER 66</x:v>
      </x:c>
      <x:c r="C47" s="25" t="n">
        <x:v>1</x:v>
      </x:c>
      <x:c r="D47" s="15" t="str">
        <x:v>Pcs</x:v>
      </x:c>
      <x:c r="E47" s="15" t="str">
        <x:v>ADU!B19</x:v>
      </x:c>
      <x:c r="F47" s="15" t="str"/>
      <x:c r="G47" s="18" t="str">
        <x:v>Unmatched</x:v>
      </x:c>
      <x:c r="H47" s="15" t="str">
        <x:v>Map both Items, then save BOM</x:v>
      </x:c>
    </x:row>
    <x:row r="48">
      <x:c r="A48" s="15" t="str">
        <x:v>RAINBOWCLIP 60 WITH STORAGE BOX</x:v>
      </x:c>
      <x:c r="B48" s="15" t="str">
        <x:v>WHITE BOX K-66</x:v>
      </x:c>
      <x:c r="C48" s="25" t="n">
        <x:v>1</x:v>
      </x:c>
      <x:c r="D48" s="15" t="str">
        <x:v>Pcs</x:v>
      </x:c>
      <x:c r="E48" s="15" t="str">
        <x:v>ADU!B33</x:v>
      </x:c>
      <x:c r="F48" s="15" t="str"/>
      <x:c r="G48" s="18" t="str">
        <x:v>Unmatched</x:v>
      </x:c>
      <x:c r="H48" s="15" t="str">
        <x:v>Map both Items, then save BOM</x:v>
      </x:c>
    </x:row>
    <x:row r="49">
      <x:c r="A49" s="15" t="str">
        <x:v>RAINBOWCLIP 60 WITH STORAGE BOX</x:v>
      </x:c>
      <x:c r="B49" s="15" t="str">
        <x:v>SPRING</x:v>
      </x:c>
      <x:c r="C49" s="25" t="n">
        <x:v>0.056962025316455694</x:v>
      </x:c>
      <x:c r="D49" s="15" t="str">
        <x:v>Kg</x:v>
      </x:c>
      <x:c r="E49" s="15" t="str">
        <x:v>ADU!B48</x:v>
      </x:c>
      <x:c r="F49" s="15" t="str">
        <x:v>Flattened 15% dependent formula</x:v>
      </x:c>
      <x:c r="G49" s="18" t="str">
        <x:v>Unmatched</x:v>
      </x:c>
      <x:c r="H49" s="15" t="str">
        <x:v>Map both Items, then save BOM</x:v>
      </x:c>
    </x:row>
    <x:row r="50">
      <x:c r="A50" s="15" t="str">
        <x:v>RAINBOWCLIP 60 WITH STORAGE BOX</x:v>
      </x:c>
      <x:c r="B50" s="15" t="str">
        <x:v>RIVET</x:v>
      </x:c>
      <x:c r="C50" s="25" t="n">
        <x:v>0.0189873417721519</x:v>
      </x:c>
      <x:c r="D50" s="15" t="str">
        <x:v>Kg</x:v>
      </x:c>
      <x:c r="E50" s="15" t="str">
        <x:v>ADU!B49</x:v>
      </x:c>
      <x:c r="F50" s="15" t="str">
        <x:v>Flattened 5% dependent formula</x:v>
      </x:c>
      <x:c r="G50" s="18" t="str">
        <x:v>Unmatched</x:v>
      </x:c>
      <x:c r="H50" s="15" t="str">
        <x:v>Map both Items, then save BOM</x:v>
      </x:c>
    </x:row>
    <x:row r="51">
      <x:c r="A51" s="15" t="str">
        <x:v>RYNO SUPER CLIP 18</x:v>
      </x:c>
      <x:c r="B51" s="15" t="str">
        <x:v>RYNO CLIP</x:v>
      </x:c>
      <x:c r="C51" s="25" t="n">
        <x:v>0.16363636363636364</x:v>
      </x:c>
      <x:c r="D51" s="15" t="str">
        <x:v>Kg</x:v>
      </x:c>
      <x:c r="E51" s="15" t="str">
        <x:v>ADU!B12</x:v>
      </x:c>
      <x:c r="F51" s="15" t="str"/>
      <x:c r="G51" s="18" t="str">
        <x:v>Unmatched</x:v>
      </x:c>
      <x:c r="H51" s="15" t="str">
        <x:v>Map both Items, then save BOM</x:v>
      </x:c>
    </x:row>
    <x:row r="52">
      <x:c r="A52" s="15" t="str">
        <x:v>RYNO SUPER CLIP 18</x:v>
      </x:c>
      <x:c r="B52" s="15" t="str">
        <x:v>DELUX 333</x:v>
      </x:c>
      <x:c r="C52" s="25" t="n">
        <x:v>1</x:v>
      </x:c>
      <x:c r="D52" s="15" t="str">
        <x:v>Pcs</x:v>
      </x:c>
      <x:c r="E52" s="15" t="str">
        <x:v>ADU!B21</x:v>
      </x:c>
      <x:c r="F52" s="15" t="str"/>
      <x:c r="G52" s="18" t="str">
        <x:v>Unmatched</x:v>
      </x:c>
      <x:c r="H52" s="15" t="str">
        <x:v>Map both Items, then save BOM</x:v>
      </x:c>
    </x:row>
    <x:row r="53">
      <x:c r="A53" s="15" t="str">
        <x:v>RYNO SUPER CLIP 24</x:v>
      </x:c>
      <x:c r="B53" s="15" t="str">
        <x:v>RYNO CLIP</x:v>
      </x:c>
      <x:c r="C53" s="25" t="n">
        <x:v>0.21818181818181817</x:v>
      </x:c>
      <x:c r="D53" s="15" t="str">
        <x:v>Kg</x:v>
      </x:c>
      <x:c r="E53" s="15" t="str">
        <x:v>ADU!B12</x:v>
      </x:c>
      <x:c r="F53" s="15" t="str"/>
      <x:c r="G53" s="18" t="str">
        <x:v>Unmatched</x:v>
      </x:c>
      <x:c r="H53" s="15" t="str">
        <x:v>Map both Items, then save BOM</x:v>
      </x:c>
    </x:row>
    <x:row r="54">
      <x:c r="A54" s="15" t="str">
        <x:v>RYNO SUPER CLIP 24</x:v>
      </x:c>
      <x:c r="B54" s="15" t="str">
        <x:v>DELUX 333</x:v>
      </x:c>
      <x:c r="C54" s="25" t="n">
        <x:v>1</x:v>
      </x:c>
      <x:c r="D54" s="15" t="str">
        <x:v>Pcs</x:v>
      </x:c>
      <x:c r="E54" s="15" t="str">
        <x:v>ADU!B21</x:v>
      </x:c>
      <x:c r="F54" s="15" t="str"/>
      <x:c r="G54" s="18" t="str">
        <x:v>Unmatched</x:v>
      </x:c>
      <x:c r="H54" s="15" t="str">
        <x:v>Map both Items, then save BOM</x:v>
      </x:c>
    </x:row>
    <x:row r="55">
      <x:c r="A55" s="15" t="str">
        <x:v>RYNO SUPER CLIP 48</x:v>
      </x:c>
      <x:c r="B55" s="15" t="str">
        <x:v>RYNO CLIP</x:v>
      </x:c>
      <x:c r="C55" s="25" t="n">
        <x:v>0.43636363636363634</x:v>
      </x:c>
      <x:c r="D55" s="15" t="str">
        <x:v>Kg</x:v>
      </x:c>
      <x:c r="E55" s="15" t="str">
        <x:v>ADU!B12</x:v>
      </x:c>
      <x:c r="F55" s="15" t="str"/>
      <x:c r="G55" s="18" t="str">
        <x:v>Unmatched</x:v>
      </x:c>
      <x:c r="H55" s="15" t="str">
        <x:v>Map both Items, then save BOM</x:v>
      </x:c>
    </x:row>
    <x:row r="56">
      <x:c r="A56" s="15" t="str">
        <x:v>RYNO SUPER CLIP 48</x:v>
      </x:c>
      <x:c r="B56" s="15" t="str">
        <x:v>DELUX 555</x:v>
      </x:c>
      <x:c r="C56" s="25" t="n">
        <x:v>1</x:v>
      </x:c>
      <x:c r="D56" s="15" t="str">
        <x:v>Pcs</x:v>
      </x:c>
      <x:c r="E56" s="15" t="str">
        <x:v>ADU!B23</x:v>
      </x:c>
      <x:c r="F56" s="15" t="str"/>
      <x:c r="G56" s="18" t="str">
        <x:v>Unmatched</x:v>
      </x:c>
      <x:c r="H56" s="15" t="str">
        <x:v>Map both Items, then save BOM</x:v>
      </x:c>
    </x:row>
    <x:row r="57">
      <x:c r="A57" s="15" t="str">
        <x:v>WHITE ULTIMATE HANGER 20</x:v>
      </x:c>
      <x:c r="B57" s="15" t="str">
        <x:v>WHITE HANGER</x:v>
      </x:c>
      <x:c r="C57" s="25" t="n">
        <x:v>20</x:v>
      </x:c>
      <x:c r="D57" s="15" t="str">
        <x:v>Pcs</x:v>
      </x:c>
      <x:c r="E57" s="15" t="str">
        <x:v>ADU!B8</x:v>
      </x:c>
      <x:c r="F57" s="15" t="str"/>
      <x:c r="G57" s="18" t="str">
        <x:v>Unmatched</x:v>
      </x:c>
      <x:c r="H57" s="15" t="str">
        <x:v>Map both Items, then save BOM</x:v>
      </x:c>
    </x:row>
    <x:row r="58">
      <x:c r="A58" s="15" t="str">
        <x:v>WHITE ULTIMATE HANGER 20</x:v>
      </x:c>
      <x:c r="B58" s="15" t="str">
        <x:v>MH HANGER BOX</x:v>
      </x:c>
      <x:c r="C58" s="25" t="n">
        <x:v>1</x:v>
      </x:c>
      <x:c r="D58" s="15" t="str">
        <x:v>Pcs</x:v>
      </x:c>
      <x:c r="E58" s="15" t="str">
        <x:v>ADU!B37</x:v>
      </x:c>
      <x:c r="F58" s="15" t="str"/>
      <x:c r="G58" s="18" t="str">
        <x:v>Unmatched</x:v>
      </x:c>
      <x:c r="H58" s="15" t="str">
        <x:v>Map both Items, then save BOM</x:v>
      </x:c>
    </x:row>
    <x:row r="59">
      <x:c r="A59" s="15" t="str">
        <x:v>WHITE-GREY ULTIMATE HANGER 20</x:v>
      </x:c>
      <x:c r="B59" s="15" t="str">
        <x:v>WHITE HANGER</x:v>
      </x:c>
      <x:c r="C59" s="25" t="n">
        <x:v>10</x:v>
      </x:c>
      <x:c r="D59" s="15" t="str">
        <x:v>Pcs</x:v>
      </x:c>
      <x:c r="E59" s="15" t="str">
        <x:v>ADU!B8</x:v>
      </x:c>
      <x:c r="F59" s="15" t="str"/>
      <x:c r="G59" s="18" t="str">
        <x:v>Unmatched</x:v>
      </x:c>
      <x:c r="H59" s="15" t="str">
        <x:v>Map both Items, then save BOM</x:v>
      </x:c>
    </x:row>
    <x:row r="60">
      <x:c r="A60" s="15" t="str">
        <x:v>WHITE-GREY ULTIMATE HANGER 20</x:v>
      </x:c>
      <x:c r="B60" s="15" t="str">
        <x:v>GREY HANGER</x:v>
      </x:c>
      <x:c r="C60" s="25" t="n">
        <x:v>10</x:v>
      </x:c>
      <x:c r="D60" s="15" t="str">
        <x:v>Pcs</x:v>
      </x:c>
      <x:c r="E60" s="15" t="str">
        <x:v>ADU!B9</x:v>
      </x:c>
      <x:c r="F60" s="15" t="str"/>
      <x:c r="G60" s="18" t="str">
        <x:v>Unmatched</x:v>
      </x:c>
      <x:c r="H60" s="15" t="str">
        <x:v>Map both Items, then save BOM</x:v>
      </x:c>
    </x:row>
    <x:row r="61">
      <x:c r="A61" s="15" t="str">
        <x:v>WHITE-GREY ULTIMATE HANGER 20</x:v>
      </x:c>
      <x:c r="B61" s="15" t="str">
        <x:v>MH HANGER BOX</x:v>
      </x:c>
      <x:c r="C61" s="25" t="n">
        <x:v>1</x:v>
      </x:c>
      <x:c r="D61" s="15" t="str">
        <x:v>Pcs</x:v>
      </x:c>
      <x:c r="E61" s="15" t="str">
        <x:v>ADU!B37</x:v>
      </x:c>
      <x:c r="F61" s="15" t="str"/>
      <x:c r="G61" s="18" t="str">
        <x:v>Unmatched</x:v>
      </x:c>
      <x:c r="H61" s="15" t="str">
        <x:v>Map both Items, then save BOM</x:v>
      </x:c>
    </x:row>
    <x:row r="62">
      <x:c r="A62" s="15" t="str">
        <x:v>R-20</x:v>
      </x:c>
      <x:c r="B62" s="15" t="str">
        <x:v>RAINBOW YGP</x:v>
      </x:c>
      <x:c r="C62" s="25" t="n">
        <x:v>0.0949367088607595</x:v>
      </x:c>
      <x:c r="D62" s="15" t="str">
        <x:v>Kg</x:v>
      </x:c>
      <x:c r="E62" s="15" t="str">
        <x:v>ADU!B3</x:v>
      </x:c>
      <x:c r="F62" s="15" t="str"/>
      <x:c r="G62" s="18" t="str">
        <x:v>Unmatched</x:v>
      </x:c>
      <x:c r="H62" s="15" t="str">
        <x:v>Map both Items, then save BOM</x:v>
      </x:c>
    </x:row>
    <x:row r="63">
      <x:c r="A63" s="15" t="str">
        <x:v>R-20</x:v>
      </x:c>
      <x:c r="B63" s="15" t="str">
        <x:v>RAINBOW BLUE</x:v>
      </x:c>
      <x:c r="C63" s="25" t="n">
        <x:v>0.03164556962025317</x:v>
      </x:c>
      <x:c r="D63" s="15" t="str">
        <x:v>Kg</x:v>
      </x:c>
      <x:c r="E63" s="15" t="str">
        <x:v>ADU!B5</x:v>
      </x:c>
      <x:c r="F63" s="15" t="str"/>
      <x:c r="G63" s="18" t="str">
        <x:v>Unmatched</x:v>
      </x:c>
      <x:c r="H63" s="15" t="str">
        <x:v>Map both Items, then save BOM</x:v>
      </x:c>
    </x:row>
    <x:row r="64">
      <x:c r="A64" s="15" t="str">
        <x:v>R-20</x:v>
      </x:c>
      <x:c r="B64" s="15" t="str">
        <x:v>KEEPER 44</x:v>
      </x:c>
      <x:c r="C64" s="25" t="n">
        <x:v>1</x:v>
      </x:c>
      <x:c r="D64" s="15" t="str">
        <x:v>Pcs</x:v>
      </x:c>
      <x:c r="E64" s="15" t="str">
        <x:v>ADU!B17</x:v>
      </x:c>
      <x:c r="F64" s="15" t="str"/>
      <x:c r="G64" s="18" t="str">
        <x:v>Unmatched</x:v>
      </x:c>
      <x:c r="H64" s="15" t="str">
        <x:v>Map both Items, then save BOM</x:v>
      </x:c>
    </x:row>
    <x:row r="65">
      <x:c r="A65" s="15" t="str">
        <x:v>R-20</x:v>
      </x:c>
      <x:c r="B65" s="15" t="str">
        <x:v>SPRING</x:v>
      </x:c>
      <x:c r="C65" s="25" t="n">
        <x:v>0.0189873417721519</x:v>
      </x:c>
      <x:c r="D65" s="15" t="str">
        <x:v>Kg</x:v>
      </x:c>
      <x:c r="E65" s="15" t="str">
        <x:v>ADU!B48</x:v>
      </x:c>
      <x:c r="F65" s="15" t="str">
        <x:v>Flattened 15% dependent formula</x:v>
      </x:c>
      <x:c r="G65" s="18" t="str">
        <x:v>Unmatched</x:v>
      </x:c>
      <x:c r="H65" s="15" t="str">
        <x:v>Map both Items, then save BOM</x:v>
      </x:c>
    </x:row>
    <x:row r="66">
      <x:c r="A66" s="15" t="str">
        <x:v>R-20</x:v>
      </x:c>
      <x:c r="B66" s="15" t="str">
        <x:v>RIVET</x:v>
      </x:c>
      <x:c r="C66" s="25" t="n">
        <x:v>0.006329113924050633</x:v>
      </x:c>
      <x:c r="D66" s="15" t="str">
        <x:v>Kg</x:v>
      </x:c>
      <x:c r="E66" s="15" t="str">
        <x:v>ADU!B49</x:v>
      </x:c>
      <x:c r="F66" s="15" t="str">
        <x:v>Flattened 5% dependent formula</x:v>
      </x:c>
      <x:c r="G66" s="18" t="str">
        <x:v>Unmatched</x:v>
      </x:c>
      <x:c r="H66" s="15" t="str">
        <x:v>Map both Items, then save BOM</x:v>
      </x:c>
    </x:row>
    <x:row r="67">
      <x:c r="A67" s="15" t="str">
        <x:v>MH-10</x:v>
      </x:c>
      <x:c r="B67" s="15" t="str">
        <x:v>MH HANGER</x:v>
      </x:c>
      <x:c r="C67" s="25" t="n">
        <x:v>10</x:v>
      </x:c>
      <x:c r="D67" s="15" t="str">
        <x:v>Pcs</x:v>
      </x:c>
      <x:c r="E67" s="15" t="str">
        <x:v>ADU!B6</x:v>
      </x:c>
      <x:c r="F67" s="15" t="str"/>
      <x:c r="G67" s="18" t="str">
        <x:v>Unmatched</x:v>
      </x:c>
      <x:c r="H67" s="15" t="str">
        <x:v>Map both Items, then save BOM</x:v>
      </x:c>
    </x:row>
    <x:row r="68">
      <x:c r="A68" s="15" t="str">
        <x:v>BH-10</x:v>
      </x:c>
      <x:c r="B68" s="15" t="str">
        <x:v>BLACK HANGER</x:v>
      </x:c>
      <x:c r="C68" s="25" t="n">
        <x:v>10</x:v>
      </x:c>
      <x:c r="D68" s="15" t="str">
        <x:v>Pcs</x:v>
      </x:c>
      <x:c r="E68" s="15" t="str">
        <x:v>ADU!B7</x:v>
      </x:c>
      <x:c r="F68" s="15" t="str"/>
      <x:c r="G68" s="18" t="str">
        <x:v>Unmatched</x:v>
      </x:c>
      <x:c r="H68" s="15" t="str">
        <x:v>Map both Items, then save BOM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5" hidden="0" customWidth="1"/>
    <x:col min="9" max="9" width="20" hidden="0" customWidth="1"/>
    <x:col min="10" max="10" width="12" hidden="0" customWidth="1"/>
    <x:col min="11" max="11" width="14" hidden="0" customWidth="1"/>
    <x:col min="12" max="12" width="52" hidden="0" customWidth="1"/>
    <x:col min="13" max="13" width="14" hidden="0" customWidth="1"/>
    <x:col min="14" max="14" width="42" hidden="0" customWidth="1"/>
  </x:cols>
  <x:sheetData>
    <x:row r="1" ht="28" customHeight="1">
      <x:c r="A1" s="14" t="str">
        <x:v>Procurement Settings Staging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</x:row>
    <x:row r="2" ht="30" customHeight="1">
      <x:c r="A2" s="16" t="str">
        <x:v>Physical Stock is taken from STOCK column B by material name. Workbook helper/random TOTAL values, inbound stock, and open-order columns are intentionally excluded.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3" ht="24" customHeight="1">
      <x:c r="A3" s="17" t="str">
        <x:v>Material</x:v>
      </x:c>
      <x:c r="B3" s="17" t="str">
        <x:v>Unit</x:v>
      </x:c>
      <x:c r="C3" s="17" t="str">
        <x:v>Physical Stock</x:v>
      </x:c>
      <x:c r="D3" s="17" t="str">
        <x:v>Requirement</x:v>
      </x:c>
      <x:c r="E3" s="17" t="str">
        <x:v>Lead Time Days</x:v>
      </x:c>
      <x:c r="F3" s="17" t="str">
        <x:v>Safety Factor</x:v>
      </x:c>
      <x:c r="G3" s="17" t="str">
        <x:v>Workbook EOQ / Proposed MOQ</x:v>
      </x:c>
      <x:c r="H3" s="17" t="str">
        <x:v>Order Multiple</x:v>
      </x:c>
      <x:c r="I3" s="17" t="str">
        <x:v>Rounding Rule</x:v>
      </x:c>
      <x:c r="J3" s="17" t="str">
        <x:v>Automatic</x:v>
      </x:c>
      <x:c r="K3" s="17" t="str">
        <x:v>Manual Planning</x:v>
      </x:c>
      <x:c r="L3" s="17" t="str">
        <x:v>Workbook Formula</x:v>
      </x:c>
      <x:c r="M3" s="17" t="str">
        <x:v>Match Status</x:v>
      </x:c>
      <x:c r="N3" s="17" t="str">
        <x:v>Action</x:v>
      </x:c>
    </x:row>
    <x:row r="4">
      <x:c r="A4" s="15" t="str">
        <x:v>RAINBOW YGP</x:v>
      </x:c>
      <x:c r="B4" s="15" t="str">
        <x:v>Kg</x:v>
      </x:c>
      <x:c r="C4" s="25" t="n">
        <x:v>42</x:v>
      </x:c>
      <x:c r="D4" s="25" t="n">
        <x:v>62.58227848101266</x:v>
      </x:c>
      <x:c r="E4" s="25" t="n">
        <x:v>30</x:v>
      </x:c>
      <x:c r="F4" s="25" t="n">
        <x:v>2.5</x:v>
      </x:c>
      <x:c r="G4" s="25" t="n">
        <x:v>42</x:v>
      </x:c>
      <x:c r="H4" s="25"/>
      <x:c r="I4" s="15" t="str">
        <x:v>UpToOrderMultiple</x:v>
      </x:c>
      <x:c r="J4" s="27" t="b">
        <x:v>1</x:v>
      </x:c>
      <x:c r="K4" s="27" t="b">
        <x:v>0</x:v>
      </x:c>
      <x:c r="L4" s="15" t="str">
        <x:v>=('30 DAYSALE'!B18*27/158)+('30 DAYSALE'!B19*45/158)+('30 DAYSALE'!B17*30/158)+('30 DAYSALE'!B25*15/158)</x:v>
      </x:c>
      <x:c r="M4" s="18" t="str">
        <x:v>Unmatched</x:v>
      </x:c>
      <x:c r="N4" s="15" t="str">
        <x:v>Map item, confirm values, enable</x:v>
      </x:c>
    </x:row>
    <x:row r="5">
      <x:c r="A5" s="15" t="str">
        <x:v>RAINBOW ORANGE</x:v>
      </x:c>
      <x:c r="B5" s="15" t="str">
        <x:v>Kg</x:v>
      </x:c>
      <x:c r="C5" s="25" t="n">
        <x:v>78</x:v>
      </x:c>
      <x:c r="D5" s="25" t="n">
        <x:v>15.9873417721519</x:v>
      </x:c>
      <x:c r="E5" s="25" t="n">
        <x:v>30</x:v>
      </x:c>
      <x:c r="F5" s="25" t="n">
        <x:v>2.5</x:v>
      </x:c>
      <x:c r="G5" s="25" t="n">
        <x:v>78</x:v>
      </x:c>
      <x:c r="H5" s="25"/>
      <x:c r="I5" s="15" t="str">
        <x:v>UpToOrderMultiple</x:v>
      </x:c>
      <x:c r="J5" s="27" t="b">
        <x:v>1</x:v>
      </x:c>
      <x:c r="K5" s="27" t="b">
        <x:v>0</x:v>
      </x:c>
      <x:c r="L5" s="15" t="str">
        <x:v>=('30 DAYSALE'!B18*9/158)+('30 DAYSALE'!B19*15/158)</x:v>
      </x:c>
      <x:c r="M5" s="18" t="str">
        <x:v>Unmatched</x:v>
      </x:c>
      <x:c r="N5" s="15" t="str">
        <x:v>Map item, confirm values, enable</x:v>
      </x:c>
    </x:row>
    <x:row r="6">
      <x:c r="A6" s="15" t="str">
        <x:v>RAINBOW BLUE</x:v>
      </x:c>
      <x:c r="B6" s="15" t="str">
        <x:v>Kg</x:v>
      </x:c>
      <x:c r="C6" s="25" t="n">
        <x:v>15</x:v>
      </x:c>
      <x:c r="D6" s="25" t="n">
        <x:v>4.8734177215189876</x:v>
      </x:c>
      <x:c r="E6" s="25" t="n">
        <x:v>30</x:v>
      </x:c>
      <x:c r="F6" s="25" t="n">
        <x:v>2.5</x:v>
      </x:c>
      <x:c r="G6" s="25" t="n">
        <x:v>12</x:v>
      </x:c>
      <x:c r="H6" s="25"/>
      <x:c r="I6" s="15" t="str">
        <x:v>UpToOrderMultiple</x:v>
      </x:c>
      <x:c r="J6" s="27" t="b">
        <x:v>1</x:v>
      </x:c>
      <x:c r="K6" s="27" t="b">
        <x:v>0</x:v>
      </x:c>
      <x:c r="L6" s="15" t="str">
        <x:v>=('30 DAYSALE'!B25*5/158)+('30 DAYSALE'!B17*10/158)</x:v>
      </x:c>
      <x:c r="M6" s="18" t="str">
        <x:v>Unmatched</x:v>
      </x:c>
      <x:c r="N6" s="15" t="str">
        <x:v>Map item, confirm values, enable</x:v>
      </x:c>
    </x:row>
    <x:row r="7">
      <x:c r="A7" s="15" t="str">
        <x:v>MH HANGER</x:v>
      </x:c>
      <x:c r="B7" s="15" t="str">
        <x:v>Pcs</x:v>
      </x:c>
      <x:c r="C7" s="25" t="n">
        <x:v>0</x:v>
      </x:c>
      <x:c r="D7" s="25" t="n">
        <x:v>2980</x:v>
      </x:c>
      <x:c r="E7" s="25" t="n">
        <x:v>30</x:v>
      </x:c>
      <x:c r="F7" s="25" t="n">
        <x:v>1</x:v>
      </x:c>
      <x:c r="G7" s="25" t="n">
        <x:v>99</x:v>
      </x:c>
      <x:c r="H7" s="25"/>
      <x:c r="I7" s="15" t="str">
        <x:v>UpToOrderMultiple</x:v>
      </x:c>
      <x:c r="J7" s="27" t="b">
        <x:v>1</x:v>
      </x:c>
      <x:c r="K7" s="27" t="b">
        <x:v>0</x:v>
      </x:c>
      <x:c r="L7" s="15" t="str">
        <x:v>=('30 DAYSALE'!B10*20)+('30 DAYSALE'!B26*10)</x:v>
      </x:c>
      <x:c r="M7" s="18" t="str">
        <x:v>Unmatched</x:v>
      </x:c>
      <x:c r="N7" s="15" t="str">
        <x:v>Map item, confirm values, enable</x:v>
      </x:c>
    </x:row>
    <x:row r="8">
      <x:c r="A8" s="15" t="str">
        <x:v>BLACK HANGER</x:v>
      </x:c>
      <x:c r="B8" s="15" t="str">
        <x:v>Pcs</x:v>
      </x:c>
      <x:c r="C8" s="25" t="n">
        <x:v>0</x:v>
      </x:c>
      <x:c r="D8" s="25" t="n">
        <x:v>12315</x:v>
      </x:c>
      <x:c r="E8" s="25" t="n">
        <x:v>30</x:v>
      </x:c>
      <x:c r="F8" s="25" t="n">
        <x:v>1</x:v>
      </x:c>
      <x:c r="G8" s="25" t="n">
        <x:v>34</x:v>
      </x:c>
      <x:c r="H8" s="25"/>
      <x:c r="I8" s="15" t="str">
        <x:v>UpToOrderMultiple</x:v>
      </x:c>
      <x:c r="J8" s="27" t="b">
        <x:v>1</x:v>
      </x:c>
      <x:c r="K8" s="27" t="b">
        <x:v>0</x:v>
      </x:c>
      <x:c r="L8" s="15" t="str">
        <x:v>=('30 DAYSALE'!B2*20)+('30 DAYSALE'!B27*10)+('30 DAYSALE'!B3*25)+('30 DAYSALE'!B4*40)</x:v>
      </x:c>
      <x:c r="M8" s="18" t="str">
        <x:v>Unmatched</x:v>
      </x:c>
      <x:c r="N8" s="15" t="str">
        <x:v>Map item, confirm values, enable</x:v>
      </x:c>
    </x:row>
    <x:row r="9">
      <x:c r="A9" s="15" t="str">
        <x:v>WHITE HANGER</x:v>
      </x:c>
      <x:c r="B9" s="15" t="str">
        <x:v>Pcs</x:v>
      </x:c>
      <x:c r="C9" s="25" t="n">
        <x:v>0</x:v>
      </x:c>
      <x:c r="D9" s="25" t="n">
        <x:v>3720</x:v>
      </x:c>
      <x:c r="E9" s="25" t="n">
        <x:v>30</x:v>
      </x:c>
      <x:c r="F9" s="25" t="n">
        <x:v>1</x:v>
      </x:c>
      <x:c r="G9" s="25" t="n">
        <x:v>56</x:v>
      </x:c>
      <x:c r="H9" s="25"/>
      <x:c r="I9" s="15" t="str">
        <x:v>UpToOrderMultiple</x:v>
      </x:c>
      <x:c r="J9" s="27" t="b">
        <x:v>1</x:v>
      </x:c>
      <x:c r="K9" s="27" t="b">
        <x:v>0</x:v>
      </x:c>
      <x:c r="L9" s="15" t="str">
        <x:v>=('30 DAYSALE'!B23*20)+('30 DAYSALE'!B24*10)</x:v>
      </x:c>
      <x:c r="M9" s="18" t="str">
        <x:v>Unmatched</x:v>
      </x:c>
      <x:c r="N9" s="15" t="str">
        <x:v>Map item, confirm values, enable</x:v>
      </x:c>
    </x:row>
    <x:row r="10">
      <x:c r="A10" s="15" t="str">
        <x:v>GREY HANGER</x:v>
      </x:c>
      <x:c r="B10" s="15" t="str">
        <x:v>Pcs</x:v>
      </x:c>
      <x:c r="C10" s="25" t="n">
        <x:v>0</x:v>
      </x:c>
      <x:c r="D10" s="25" t="n">
        <x:v>4300</x:v>
      </x:c>
      <x:c r="E10" s="25" t="n">
        <x:v>30</x:v>
      </x:c>
      <x:c r="F10" s="25" t="n">
        <x:v>1</x:v>
      </x:c>
      <x:c r="G10" s="25" t="n">
        <x:v>88</x:v>
      </x:c>
      <x:c r="H10" s="25"/>
      <x:c r="I10" s="15" t="str">
        <x:v>UpToOrderMultiple</x:v>
      </x:c>
      <x:c r="J10" s="27" t="b">
        <x:v>1</x:v>
      </x:c>
      <x:c r="K10" s="27" t="b">
        <x:v>0</x:v>
      </x:c>
      <x:c r="L10" s="15" t="str">
        <x:v>=('30 DAYSALE'!B9*20)+('30 DAYSALE'!B24*10)</x:v>
      </x:c>
      <x:c r="M10" s="18" t="str">
        <x:v>Unmatched</x:v>
      </x:c>
      <x:c r="N10" s="15" t="str">
        <x:v>Map item, confirm values, enable</x:v>
      </x:c>
    </x:row>
    <x:row r="11">
      <x:c r="A11" s="15" t="str">
        <x:v>FLEXI BLACK HANGER</x:v>
      </x:c>
      <x:c r="B11" s="15" t="str">
        <x:v>Pcs</x:v>
      </x:c>
      <x:c r="C11" s="25" t="n">
        <x:v>0</x:v>
      </x:c>
      <x:c r="D11" s="25" t="n">
        <x:v>1680</x:v>
      </x:c>
      <x:c r="E11" s="25" t="n">
        <x:v>30</x:v>
      </x:c>
      <x:c r="F11" s="25" t="n">
        <x:v>1</x:v>
      </x:c>
      <x:c r="G11" s="25" t="n">
        <x:v>21</x:v>
      </x:c>
      <x:c r="H11" s="25"/>
      <x:c r="I11" s="15" t="str">
        <x:v>UpToOrderMultiple</x:v>
      </x:c>
      <x:c r="J11" s="27" t="b">
        <x:v>1</x:v>
      </x:c>
      <x:c r="K11" s="27" t="b">
        <x:v>0</x:v>
      </x:c>
      <x:c r="L11" s="15" t="str">
        <x:v>=('30 DAYSALE'!B5*16)</x:v>
      </x:c>
      <x:c r="M11" s="18" t="str">
        <x:v>Unmatched</x:v>
      </x:c>
      <x:c r="N11" s="15" t="str">
        <x:v>Map item, confirm values, enable</x:v>
      </x:c>
    </x:row>
    <x:row r="12">
      <x:c r="A12" s="15" t="str">
        <x:v>RYNO CLIP</x:v>
      </x:c>
      <x:c r="B12" s="15" t="str">
        <x:v>Kg</x:v>
      </x:c>
      <x:c r="C12" s="25" t="n">
        <x:v>0</x:v>
      </x:c>
      <x:c r="D12" s="25" t="n">
        <x:v>92.4</x:v>
      </x:c>
      <x:c r="E12" s="25" t="n">
        <x:v>29.999999999999996</x:v>
      </x:c>
      <x:c r="F12" s="25" t="n">
        <x:v>3</x:v>
      </x:c>
      <x:c r="G12" s="25" t="n">
        <x:v>45</x:v>
      </x:c>
      <x:c r="H12" s="25"/>
      <x:c r="I12" s="15" t="str">
        <x:v>UpToOrderMultiple</x:v>
      </x:c>
      <x:c r="J12" s="27" t="b">
        <x:v>1</x:v>
      </x:c>
      <x:c r="K12" s="27" t="b">
        <x:v>0</x:v>
      </x:c>
      <x:c r="L12" s="15" t="str">
        <x:v>=(('30 DAYSALE'!B20*18)+('30 DAYSALE'!B21*24)+('30 DAYSALE'!B22*48))/110</x:v>
      </x:c>
      <x:c r="M12" s="18" t="str">
        <x:v>Unmatched</x:v>
      </x:c>
      <x:c r="N12" s="15" t="str">
        <x:v>Map item, confirm values, enable</x:v>
      </x:c>
    </x:row>
    <x:row r="13">
      <x:c r="A13" s="15" t="str">
        <x:v>ORA CLIP</x:v>
      </x:c>
      <x:c r="B13" s="15" t="str"/>
      <x:c r="C13" s="25" t="n">
        <x:v>91</x:v>
      </x:c>
      <x:c r="D13" s="25"/>
      <x:c r="E13" s="25"/>
      <x:c r="F13" s="25"/>
      <x:c r="G13" s="25"/>
      <x:c r="H13" s="25"/>
      <x:c r="I13" s="15" t="str">
        <x:v>UpToOrderMultiple</x:v>
      </x:c>
      <x:c r="J13" s="27" t="b">
        <x:v>0</x:v>
      </x:c>
      <x:c r="K13" s="27" t="b">
        <x:v>1</x:v>
      </x:c>
      <x:c r="L13" s="15"/>
      <x:c r="M13" s="18" t="str">
        <x:v>Unmatched</x:v>
      </x:c>
      <x:c r="N13" s="15" t="str">
        <x:v>Map item and complete configuration / plan manually</x:v>
      </x:c>
    </x:row>
    <x:row r="14">
      <x:c r="A14" s="15" t="str">
        <x:v>CELEBRATION CLIP</x:v>
      </x:c>
      <x:c r="B14" s="15" t="str"/>
      <x:c r="C14" s="25" t="n">
        <x:v>0</x:v>
      </x:c>
      <x:c r="D14" s="25"/>
      <x:c r="E14" s="25"/>
      <x:c r="F14" s="25"/>
      <x:c r="G14" s="25"/>
      <x:c r="H14" s="25"/>
      <x:c r="I14" s="15" t="str">
        <x:v>UpToOrderMultiple</x:v>
      </x:c>
      <x:c r="J14" s="27" t="b">
        <x:v>0</x:v>
      </x:c>
      <x:c r="K14" s="27" t="b">
        <x:v>1</x:v>
      </x:c>
      <x:c r="L14" s="15"/>
      <x:c r="M14" s="18" t="str">
        <x:v>Unmatched</x:v>
      </x:c>
      <x:c r="N14" s="15" t="str">
        <x:v>Map item and complete configuration / plan manually</x:v>
      </x:c>
    </x:row>
    <x:row r="15">
      <x:c r="A15" s="15" t="str">
        <x:v>KEEPER 44</x:v>
      </x:c>
      <x:c r="B15" s="15" t="str">
        <x:v>Pcs</x:v>
      </x:c>
      <x:c r="C15" s="25" t="n">
        <x:v>33</x:v>
      </x:c>
      <x:c r="D15" s="25" t="n">
        <x:v>77</x:v>
      </x:c>
      <x:c r="E15" s="25" t="n">
        <x:v>13</x:v>
      </x:c>
      <x:c r="F15" s="25" t="n">
        <x:v>2</x:v>
      </x:c>
      <x:c r="G15" s="25" t="n">
        <x:v>67</x:v>
      </x:c>
      <x:c r="H15" s="25"/>
      <x:c r="I15" s="15" t="str">
        <x:v>UpToOrderMultiple</x:v>
      </x:c>
      <x:c r="J15" s="27" t="b">
        <x:v>1</x:v>
      </x:c>
      <x:c r="K15" s="27" t="b">
        <x:v>0</x:v>
      </x:c>
      <x:c r="L15" s="15" t="str">
        <x:v>='30 DAYSALE'!B13+'30 DAYSALE'!B25</x:v>
      </x:c>
      <x:c r="M15" s="18" t="str">
        <x:v>Unmatched</x:v>
      </x:c>
      <x:c r="N15" s="15" t="str">
        <x:v>Map item, confirm values, enable</x:v>
      </x:c>
    </x:row>
    <x:row r="16">
      <x:c r="A16" s="15" t="str">
        <x:v>KEEPER 55</x:v>
      </x:c>
      <x:c r="B16" s="15" t="str">
        <x:v>Pcs</x:v>
      </x:c>
      <x:c r="C16" s="25" t="n">
        <x:v>64</x:v>
      </x:c>
      <x:c r="D16" s="25" t="n">
        <x:v>385</x:v>
      </x:c>
      <x:c r="E16" s="25" t="n">
        <x:v>13</x:v>
      </x:c>
      <x:c r="F16" s="25" t="n">
        <x:v>2</x:v>
      </x:c>
      <x:c r="G16" s="25" t="n">
        <x:v>89</x:v>
      </x:c>
      <x:c r="H16" s="25"/>
      <x:c r="I16" s="15" t="str">
        <x:v>UpToOrderMultiple</x:v>
      </x:c>
      <x:c r="J16" s="27" t="b">
        <x:v>1</x:v>
      </x:c>
      <x:c r="K16" s="27" t="b">
        <x:v>0</x:v>
      </x:c>
      <x:c r="L16" s="15" t="str">
        <x:v>='30 DAYSALE'!B18+'30 DAYSALE'!B11+'30 DAYSALE'!B14</x:v>
      </x:c>
      <x:c r="M16" s="18" t="str">
        <x:v>Unmatched</x:v>
      </x:c>
      <x:c r="N16" s="15" t="str">
        <x:v>Map item, confirm values, enable</x:v>
      </x:c>
    </x:row>
    <x:row r="17">
      <x:c r="A17" s="15" t="str">
        <x:v>KEEPER 66</x:v>
      </x:c>
      <x:c r="B17" s="15" t="str">
        <x:v>Pcs</x:v>
      </x:c>
      <x:c r="C17" s="25" t="n">
        <x:v>21</x:v>
      </x:c>
      <x:c r="D17" s="25" t="n">
        <x:v>87</x:v>
      </x:c>
      <x:c r="E17" s="25" t="n">
        <x:v>12.999999999999998</x:v>
      </x:c>
      <x:c r="F17" s="25" t="n">
        <x:v>2</x:v>
      </x:c>
      <x:c r="G17" s="25" t="n">
        <x:v>23</x:v>
      </x:c>
      <x:c r="H17" s="25"/>
      <x:c r="I17" s="15" t="str">
        <x:v>UpToOrderMultiple</x:v>
      </x:c>
      <x:c r="J17" s="27" t="b">
        <x:v>1</x:v>
      </x:c>
      <x:c r="K17" s="27" t="b">
        <x:v>0</x:v>
      </x:c>
      <x:c r="L17" s="15" t="str">
        <x:v>='30 DAYSALE'!B12+'30 DAYSALE'!B19</x:v>
      </x:c>
      <x:c r="M17" s="18" t="str">
        <x:v>Unmatched</x:v>
      </x:c>
      <x:c r="N17" s="15" t="str">
        <x:v>Map item, confirm values, enable</x:v>
      </x:c>
    </x:row>
    <x:row r="18">
      <x:c r="A18" s="15" t="str">
        <x:v>DELUX 222</x:v>
      </x:c>
      <x:c r="B18" s="15" t="str">
        <x:v>Pcs</x:v>
      </x:c>
      <x:c r="C18" s="25" t="n">
        <x:v>87</x:v>
      </x:c>
      <x:c r="D18" s="25" t="n">
        <x:v>47</x:v>
      </x:c>
      <x:c r="E18" s="25" t="n">
        <x:v>13</x:v>
      </x:c>
      <x:c r="F18" s="25" t="n">
        <x:v>2</x:v>
      </x:c>
      <x:c r="G18" s="25" t="n">
        <x:v>76</x:v>
      </x:c>
      <x:c r="H18" s="25"/>
      <x:c r="I18" s="15" t="str">
        <x:v>UpToOrderMultiple</x:v>
      </x:c>
      <x:c r="J18" s="27" t="b">
        <x:v>1</x:v>
      </x:c>
      <x:c r="K18" s="27" t="b">
        <x:v>0</x:v>
      </x:c>
      <x:c r="L18" s="15" t="str">
        <x:v>='30 DAYSALE'!B6</x:v>
      </x:c>
      <x:c r="M18" s="18" t="str">
        <x:v>Unmatched</x:v>
      </x:c>
      <x:c r="N18" s="15" t="str">
        <x:v>Map item, confirm values, enable</x:v>
      </x:c>
    </x:row>
    <x:row r="19">
      <x:c r="A19" s="15" t="str">
        <x:v>DELUX 333</x:v>
      </x:c>
      <x:c r="B19" s="15" t="str">
        <x:v>Pcs</x:v>
      </x:c>
      <x:c r="C19" s="25" t="n">
        <x:v>56</x:v>
      </x:c>
      <x:c r="D19" s="25" t="n">
        <x:v>103</x:v>
      </x:c>
      <x:c r="E19" s="25" t="n">
        <x:v>13</x:v>
      </x:c>
      <x:c r="F19" s="25" t="n">
        <x:v>2</x:v>
      </x:c>
      <x:c r="G19" s="25" t="n">
        <x:v>19</x:v>
      </x:c>
      <x:c r="H19" s="25"/>
      <x:c r="I19" s="15" t="str">
        <x:v>UpToOrderMultiple</x:v>
      </x:c>
      <x:c r="J19" s="27" t="b">
        <x:v>1</x:v>
      </x:c>
      <x:c r="K19" s="27" t="b">
        <x:v>0</x:v>
      </x:c>
      <x:c r="L19" s="15" t="str">
        <x:v>='30 DAYSALE'!B20+'30 DAYSALE'!B21</x:v>
      </x:c>
      <x:c r="M19" s="18" t="str">
        <x:v>Unmatched</x:v>
      </x:c>
      <x:c r="N19" s="15" t="str">
        <x:v>Map item, confirm values, enable</x:v>
      </x:c>
    </x:row>
    <x:row r="20">
      <x:c r="A20" s="15" t="str">
        <x:v>DELUX 444</x:v>
      </x:c>
      <x:c r="B20" s="15" t="str">
        <x:v>Pcs</x:v>
      </x:c>
      <x:c r="C20" s="25" t="n">
        <x:v>19</x:v>
      </x:c>
      <x:c r="D20" s="25" t="n">
        <x:v>160</x:v>
      </x:c>
      <x:c r="E20" s="25" t="n">
        <x:v>13</x:v>
      </x:c>
      <x:c r="F20" s="25" t="n">
        <x:v>2</x:v>
      </x:c>
      <x:c r="G20" s="25" t="n">
        <x:v>91</x:v>
      </x:c>
      <x:c r="H20" s="25"/>
      <x:c r="I20" s="15" t="str">
        <x:v>UpToOrderMultiple</x:v>
      </x:c>
      <x:c r="J20" s="27" t="b">
        <x:v>1</x:v>
      </x:c>
      <x:c r="K20" s="27" t="b">
        <x:v>0</x:v>
      </x:c>
      <x:c r="L20" s="15" t="str">
        <x:v>='30 DAYSALE'!B17+'30 DAYSALE'!B7</x:v>
      </x:c>
      <x:c r="M20" s="18" t="str">
        <x:v>Unmatched</x:v>
      </x:c>
      <x:c r="N20" s="15" t="str">
        <x:v>Map item, confirm values, enable</x:v>
      </x:c>
    </x:row>
    <x:row r="21">
      <x:c r="A21" s="15" t="str">
        <x:v>DELUX 555</x:v>
      </x:c>
      <x:c r="B21" s="15" t="str">
        <x:v>Pcs</x:v>
      </x:c>
      <x:c r="C21" s="25" t="n">
        <x:v>72</x:v>
      </x:c>
      <x:c r="D21" s="25" t="n">
        <x:v>162</x:v>
      </x:c>
      <x:c r="E21" s="25" t="n">
        <x:v>13</x:v>
      </x:c>
      <x:c r="F21" s="25" t="n">
        <x:v>2</x:v>
      </x:c>
      <x:c r="G21" s="25" t="n">
        <x:v>54</x:v>
      </x:c>
      <x:c r="H21" s="25"/>
      <x:c r="I21" s="15" t="str">
        <x:v>UpToOrderMultiple</x:v>
      </x:c>
      <x:c r="J21" s="27" t="b">
        <x:v>1</x:v>
      </x:c>
      <x:c r="K21" s="27" t="b">
        <x:v>0</x:v>
      </x:c>
      <x:c r="L21" s="15" t="str">
        <x:v>='30 DAYSALE'!B22</x:v>
      </x:c>
      <x:c r="M21" s="18" t="str">
        <x:v>Unmatched</x:v>
      </x:c>
      <x:c r="N21" s="15" t="str">
        <x:v>Map item, confirm values, enable</x:v>
      </x:c>
    </x:row>
    <x:row r="22">
      <x:c r="A22" s="15" t="str">
        <x:v>OREO CLIP (DZN)</x:v>
      </x:c>
      <x:c r="B22" s="15" t="str">
        <x:v>Dzn</x:v>
      </x:c>
      <x:c r="C22" s="25" t="n">
        <x:v>0</x:v>
      </x:c>
      <x:c r="D22" s="25" t="n">
        <x:v>831</x:v>
      </x:c>
      <x:c r="E22" s="25" t="n">
        <x:v>30</x:v>
      </x:c>
      <x:c r="F22" s="25" t="n">
        <x:v>2.5</x:v>
      </x:c>
      <x:c r="G22" s="25" t="n">
        <x:v>33</x:v>
      </x:c>
      <x:c r="H22" s="25"/>
      <x:c r="I22" s="15" t="str">
        <x:v>UpToOrderMultiple</x:v>
      </x:c>
      <x:c r="J22" s="27" t="b">
        <x:v>1</x:v>
      </x:c>
      <x:c r="K22" s="27" t="b">
        <x:v>0</x:v>
      </x:c>
      <x:c r="L22" s="15" t="str">
        <x:v>=(('30 DAYSALE'!B13*36)+('30 DAYSALE'!B14*60))/12</x:v>
      </x:c>
      <x:c r="M22" s="18" t="str">
        <x:v>Unmatched</x:v>
      </x:c>
      <x:c r="N22" s="15" t="str">
        <x:v>Map item, confirm values, enable</x:v>
      </x:c>
    </x:row>
    <x:row r="23">
      <x:c r="A23" s="15" t="str">
        <x:v>SQUARE HANGER</x:v>
      </x:c>
      <x:c r="B23" s="15" t="str">
        <x:v>Pcs</x:v>
      </x:c>
      <x:c r="C23" s="25" t="n">
        <x:v>48</x:v>
      </x:c>
      <x:c r="D23" s="25" t="n">
        <x:v>96</x:v>
      </x:c>
      <x:c r="E23" s="25" t="n">
        <x:v>30</x:v>
      </x:c>
      <x:c r="F23" s="25" t="n">
        <x:v>2</x:v>
      </x:c>
      <x:c r="G23" s="25" t="n">
        <x:v>61</x:v>
      </x:c>
      <x:c r="H23" s="25"/>
      <x:c r="I23" s="15" t="str">
        <x:v>UpToOrderMultiple</x:v>
      </x:c>
      <x:c r="J23" s="27" t="b">
        <x:v>1</x:v>
      </x:c>
      <x:c r="K23" s="27" t="b">
        <x:v>0</x:v>
      </x:c>
      <x:c r="L23" s="15" t="str">
        <x:v>='30 DAYSALE'!B16</x:v>
      </x:c>
      <x:c r="M23" s="18" t="str">
        <x:v>Unmatched</x:v>
      </x:c>
      <x:c r="N23" s="15" t="str">
        <x:v>Map item, confirm values, enable</x:v>
      </x:c>
    </x:row>
    <x:row r="24">
      <x:c r="A24" s="15" t="str">
        <x:v>DELUX CLIP (DZN)</x:v>
      </x:c>
      <x:c r="B24" s="15" t="str">
        <x:v>Dzn</x:v>
      </x:c>
      <x:c r="C24" s="25" t="n">
        <x:v>95</x:v>
      </x:c>
      <x:c r="D24" s="25" t="n">
        <x:v>426</x:v>
      </x:c>
      <x:c r="E24" s="25" t="n">
        <x:v>30</x:v>
      </x:c>
      <x:c r="F24" s="25" t="n">
        <x:v>3</x:v>
      </x:c>
      <x:c r="G24" s="25" t="n">
        <x:v>82</x:v>
      </x:c>
      <x:c r="H24" s="25"/>
      <x:c r="I24" s="15" t="str">
        <x:v>UpToOrderMultiple</x:v>
      </x:c>
      <x:c r="J24" s="27" t="b">
        <x:v>1</x:v>
      </x:c>
      <x:c r="K24" s="27" t="b">
        <x:v>0</x:v>
      </x:c>
      <x:c r="L24" s="15" t="str">
        <x:v>=(('30 DAYSALE'!B6)*24+('30 DAYSALE'!B7*48))/12</x:v>
      </x:c>
      <x:c r="M24" s="18" t="str">
        <x:v>Unmatched</x:v>
      </x:c>
      <x:c r="N24" s="15" t="str">
        <x:v>Map item, confirm values, enable</x:v>
      </x:c>
    </x:row>
    <x:row r="25">
      <x:c r="A25" s="15" t="str">
        <x:v>DELUX HANGER</x:v>
      </x:c>
      <x:c r="B25" s="15" t="str">
        <x:v>Pcs</x:v>
      </x:c>
      <x:c r="C25" s="25" t="n">
        <x:v>27</x:v>
      </x:c>
      <x:c r="D25" s="25" t="n">
        <x:v>88</x:v>
      </x:c>
      <x:c r="E25" s="25" t="n">
        <x:v>30</x:v>
      </x:c>
      <x:c r="F25" s="25" t="n">
        <x:v>3</x:v>
      </x:c>
      <x:c r="G25" s="25" t="n">
        <x:v>47</x:v>
      </x:c>
      <x:c r="H25" s="25"/>
      <x:c r="I25" s="15" t="str">
        <x:v>UpToOrderMultiple</x:v>
      </x:c>
      <x:c r="J25" s="27" t="b">
        <x:v>1</x:v>
      </x:c>
      <x:c r="K25" s="27" t="b">
        <x:v>0</x:v>
      </x:c>
      <x:c r="L25" s="15" t="str">
        <x:v>='30 DAYSALE'!B8</x:v>
      </x:c>
      <x:c r="M25" s="18" t="str">
        <x:v>Unmatched</x:v>
      </x:c>
      <x:c r="N25" s="15" t="str">
        <x:v>Map item, confirm values, enable</x:v>
      </x:c>
    </x:row>
    <x:row r="26">
      <x:c r="A26" s="15" t="str">
        <x:v>SPIN HANGER</x:v>
      </x:c>
      <x:c r="B26" s="15" t="str">
        <x:v>Pcs</x:v>
      </x:c>
      <x:c r="C26" s="25" t="n">
        <x:v>61</x:v>
      </x:c>
      <x:c r="D26" s="25" t="n">
        <x:v>94</x:v>
      </x:c>
      <x:c r="E26" s="25" t="n">
        <x:v>30</x:v>
      </x:c>
      <x:c r="F26" s="25" t="n">
        <x:v>3</x:v>
      </x:c>
      <x:c r="G26" s="25" t="n">
        <x:v>28</x:v>
      </x:c>
      <x:c r="H26" s="25"/>
      <x:c r="I26" s="15" t="str">
        <x:v>UpToOrderMultiple</x:v>
      </x:c>
      <x:c r="J26" s="27" t="b">
        <x:v>1</x:v>
      </x:c>
      <x:c r="K26" s="27" t="b">
        <x:v>0</x:v>
      </x:c>
      <x:c r="L26" s="15" t="str">
        <x:v>='30 DAYSALE'!B15</x:v>
      </x:c>
      <x:c r="M26" s="18" t="str">
        <x:v>Unmatched</x:v>
      </x:c>
      <x:c r="N26" s="15" t="str">
        <x:v>Map item, confirm values, enable</x:v>
      </x:c>
    </x:row>
    <x:row r="27">
      <x:c r="A27" s="15" t="str">
        <x:v>WHITE BOX K-55</x:v>
      </x:c>
      <x:c r="B27" s="15" t="str">
        <x:v>Pcs</x:v>
      </x:c>
      <x:c r="C27" s="25" t="n">
        <x:v>38</x:v>
      </x:c>
      <x:c r="D27" s="25" t="n">
        <x:v>201</x:v>
      </x:c>
      <x:c r="E27" s="25" t="n">
        <x:v>30</x:v>
      </x:c>
      <x:c r="F27" s="25" t="n">
        <x:v>2</x:v>
      </x:c>
      <x:c r="G27" s="25" t="n">
        <x:v>55</x:v>
      </x:c>
      <x:c r="H27" s="25"/>
      <x:c r="I27" s="15" t="str">
        <x:v>UpToOrderMultiple</x:v>
      </x:c>
      <x:c r="J27" s="27" t="b">
        <x:v>1</x:v>
      </x:c>
      <x:c r="K27" s="27" t="b">
        <x:v>0</x:v>
      </x:c>
      <x:c r="L27" s="15" t="str">
        <x:v>='30 DAYSALE'!B11+'30 DAYSALE'!B14</x:v>
      </x:c>
      <x:c r="M27" s="18" t="str">
        <x:v>Unmatched</x:v>
      </x:c>
      <x:c r="N27" s="15" t="str">
        <x:v>Map item, confirm values, enable</x:v>
      </x:c>
    </x:row>
    <x:row r="28">
      <x:c r="A28" s="15" t="str">
        <x:v>R-36 BOX K-55</x:v>
      </x:c>
      <x:c r="B28" s="15" t="str">
        <x:v>Pcs</x:v>
      </x:c>
      <x:c r="C28" s="25" t="n">
        <x:v>83</x:v>
      </x:c>
      <x:c r="D28" s="25" t="n">
        <x:v>184</x:v>
      </x:c>
      <x:c r="E28" s="25" t="n">
        <x:v>30</x:v>
      </x:c>
      <x:c r="F28" s="25" t="n">
        <x:v>2</x:v>
      </x:c>
      <x:c r="G28" s="25" t="n">
        <x:v>73</x:v>
      </x:c>
      <x:c r="H28" s="25"/>
      <x:c r="I28" s="15" t="str">
        <x:v>UpToOrderMultiple</x:v>
      </x:c>
      <x:c r="J28" s="27" t="b">
        <x:v>1</x:v>
      </x:c>
      <x:c r="K28" s="27" t="b">
        <x:v>0</x:v>
      </x:c>
      <x:c r="L28" s="15" t="str">
        <x:v>='30 DAYSALE'!B18</x:v>
      </x:c>
      <x:c r="M28" s="18" t="str">
        <x:v>Unmatched</x:v>
      </x:c>
      <x:c r="N28" s="15" t="str">
        <x:v>Map item, confirm values, enable</x:v>
      </x:c>
    </x:row>
    <x:row r="29">
      <x:c r="A29" s="15" t="str">
        <x:v>WHITE BOX K-66</x:v>
      </x:c>
      <x:c r="B29" s="15" t="str">
        <x:v>Pcs</x:v>
      </x:c>
      <x:c r="C29" s="25" t="n">
        <x:v>14</x:v>
      </x:c>
      <x:c r="D29" s="25" t="n">
        <x:v>87</x:v>
      </x:c>
      <x:c r="E29" s="25" t="n">
        <x:v>30</x:v>
      </x:c>
      <x:c r="F29" s="25" t="n">
        <x:v>3</x:v>
      </x:c>
      <x:c r="G29" s="25" t="n">
        <x:v>16</x:v>
      </x:c>
      <x:c r="H29" s="25"/>
      <x:c r="I29" s="15" t="str">
        <x:v>UpToOrderMultiple</x:v>
      </x:c>
      <x:c r="J29" s="27" t="b">
        <x:v>1</x:v>
      </x:c>
      <x:c r="K29" s="27" t="b">
        <x:v>0</x:v>
      </x:c>
      <x:c r="L29" s="15" t="str">
        <x:v>='30 DAYSALE'!B19+'30 DAYSALE'!B12</x:v>
      </x:c>
      <x:c r="M29" s="18" t="str">
        <x:v>Unmatched</x:v>
      </x:c>
      <x:c r="N29" s="15" t="str">
        <x:v>Map item, confirm values, enable</x:v>
      </x:c>
    </x:row>
    <x:row r="30">
      <x:c r="A30" s="15" t="str">
        <x:v>WHITE BOX SQUARE HANGER</x:v>
      </x:c>
      <x:c r="B30" s="15" t="str">
        <x:v>Pcs</x:v>
      </x:c>
      <x:c r="C30" s="25" t="n">
        <x:v>59</x:v>
      </x:c>
      <x:c r="D30" s="25" t="n">
        <x:v>184</x:v>
      </x:c>
      <x:c r="E30" s="25" t="n">
        <x:v>30</x:v>
      </x:c>
      <x:c r="F30" s="25" t="n">
        <x:v>2</x:v>
      </x:c>
      <x:c r="G30" s="25" t="n">
        <x:v>94</x:v>
      </x:c>
      <x:c r="H30" s="25"/>
      <x:c r="I30" s="15" t="str">
        <x:v>UpToOrderMultiple</x:v>
      </x:c>
      <x:c r="J30" s="27" t="b">
        <x:v>1</x:v>
      </x:c>
      <x:c r="K30" s="27" t="b">
        <x:v>0</x:v>
      </x:c>
      <x:c r="L30" s="15" t="str">
        <x:v>='30 DAYSALE'!B8+'30 DAYSALE'!B16</x:v>
      </x:c>
      <x:c r="M30" s="18" t="str">
        <x:v>Unmatched</x:v>
      </x:c>
      <x:c r="N30" s="15" t="str">
        <x:v>Map item, confirm values, enable</x:v>
      </x:c>
    </x:row>
    <x:row r="31">
      <x:c r="A31" s="15" t="str">
        <x:v>FLEXI-16 BOX</x:v>
      </x:c>
      <x:c r="B31" s="15" t="str"/>
      <x:c r="C31" s="25" t="n">
        <x:v>92</x:v>
      </x:c>
      <x:c r="D31" s="25" t="n">
        <x:v>105</x:v>
      </x:c>
      <x:c r="E31" s="25" t="n">
        <x:v>30</x:v>
      </x:c>
      <x:c r="F31" s="25" t="n">
        <x:v>1.5</x:v>
      </x:c>
      <x:c r="G31" s="25" t="n">
        <x:v>38</x:v>
      </x:c>
      <x:c r="H31" s="25"/>
      <x:c r="I31" s="15" t="str">
        <x:v>UpToOrderMultiple</x:v>
      </x:c>
      <x:c r="J31" s="27" t="b">
        <x:v>1</x:v>
      </x:c>
      <x:c r="K31" s="27" t="b">
        <x:v>0</x:v>
      </x:c>
      <x:c r="L31" s="15" t="str">
        <x:v>=('30 DAYSALE'!B5*1)</x:v>
      </x:c>
      <x:c r="M31" s="18" t="str">
        <x:v>Unmatched</x:v>
      </x:c>
      <x:c r="N31" s="15" t="str">
        <x:v>Map item, confirm values, enable</x:v>
      </x:c>
    </x:row>
    <x:row r="32">
      <x:c r="A32" s="15" t="str">
        <x:v>MH HANGER BOX</x:v>
      </x:c>
      <x:c r="B32" s="15" t="str">
        <x:v>Pcs</x:v>
      </x:c>
      <x:c r="C32" s="25" t="n">
        <x:v>24</x:v>
      </x:c>
      <x:c r="D32" s="25" t="n">
        <x:v>695</x:v>
      </x:c>
      <x:c r="E32" s="25" t="n">
        <x:v>30</x:v>
      </x:c>
      <x:c r="F32" s="25" t="n">
        <x:v>1.5</x:v>
      </x:c>
      <x:c r="G32" s="25" t="n">
        <x:v>62</x:v>
      </x:c>
      <x:c r="H32" s="25"/>
      <x:c r="I32" s="15" t="str">
        <x:v>UpToOrderMultiple</x:v>
      </x:c>
      <x:c r="J32" s="27" t="b">
        <x:v>1</x:v>
      </x:c>
      <x:c r="K32" s="27" t="b">
        <x:v>0</x:v>
      </x:c>
      <x:c r="L32" s="15" t="str">
        <x:v>='30 DAYSALE'!B10+'30 DAYSALE'!B23+'30 DAYSALE'!B24+'30 DAYSALE'!B9+'30 DAYSALE'!B2</x:v>
      </x:c>
      <x:c r="M32" s="18" t="str">
        <x:v>Unmatched</x:v>
      </x:c>
      <x:c r="N32" s="15" t="str">
        <x:v>Map item, confirm values, enable</x:v>
      </x:c>
    </x:row>
    <x:row r="33">
      <x:c r="A33" s="15" t="str">
        <x:v>BH-25 WHITE BOX</x:v>
      </x:c>
      <x:c r="B33" s="15" t="str"/>
      <x:c r="C33" s="25" t="n">
        <x:v>77</x:v>
      </x:c>
      <x:c r="D33" s="25" t="n">
        <x:v>55</x:v>
      </x:c>
      <x:c r="E33" s="25" t="n">
        <x:v>30</x:v>
      </x:c>
      <x:c r="F33" s="25" t="n">
        <x:v>3</x:v>
      </x:c>
      <x:c r="G33" s="25" t="n">
        <x:v>85</x:v>
      </x:c>
      <x:c r="H33" s="25"/>
      <x:c r="I33" s="15" t="str">
        <x:v>UpToOrderMultiple</x:v>
      </x:c>
      <x:c r="J33" s="27" t="b">
        <x:v>1</x:v>
      </x:c>
      <x:c r="K33" s="27" t="b">
        <x:v>0</x:v>
      </x:c>
      <x:c r="L33" s="15" t="str">
        <x:v>='30 DAYSALE'!B3</x:v>
      </x:c>
      <x:c r="M33" s="18" t="str">
        <x:v>Unmatched</x:v>
      </x:c>
      <x:c r="N33" s="15" t="str">
        <x:v>Map item, confirm values, enable</x:v>
      </x:c>
    </x:row>
    <x:row r="34">
      <x:c r="A34" s="15" t="str">
        <x:v>BH-40 WHITE BOX</x:v>
      </x:c>
      <x:c r="B34" s="15" t="str"/>
      <x:c r="C34" s="25" t="n">
        <x:v>41</x:v>
      </x:c>
      <x:c r="D34" s="25" t="n">
        <x:v>201</x:v>
      </x:c>
      <x:c r="E34" s="25" t="n">
        <x:v>30</x:v>
      </x:c>
      <x:c r="F34" s="25" t="n">
        <x:v>3</x:v>
      </x:c>
      <x:c r="G34" s="25" t="n">
        <x:v>49</x:v>
      </x:c>
      <x:c r="H34" s="25"/>
      <x:c r="I34" s="15" t="str">
        <x:v>UpToOrderMultiple</x:v>
      </x:c>
      <x:c r="J34" s="27" t="b">
        <x:v>1</x:v>
      </x:c>
      <x:c r="K34" s="27" t="b">
        <x:v>0</x:v>
      </x:c>
      <x:c r="L34" s="15" t="str">
        <x:v>='30 DAYSALE'!B4</x:v>
      </x:c>
      <x:c r="M34" s="18" t="str">
        <x:v>Unmatched</x:v>
      </x:c>
      <x:c r="N34" s="15" t="str">
        <x:v>Map item, confirm values, enable</x:v>
      </x:c>
    </x:row>
    <x:row r="35">
      <x:c r="A35" s="15" t="str">
        <x:v>PANNI K-55</x:v>
      </x:c>
      <x:c r="B35" s="15" t="str"/>
      <x:c r="C35" s="25" t="n">
        <x:v>0</x:v>
      </x:c>
      <x:c r="D35" s="25"/>
      <x:c r="E35" s="25"/>
      <x:c r="F35" s="25"/>
      <x:c r="G35" s="25"/>
      <x:c r="H35" s="25"/>
      <x:c r="I35" s="15" t="str">
        <x:v>UpToOrderMultiple</x:v>
      </x:c>
      <x:c r="J35" s="27" t="b">
        <x:v>0</x:v>
      </x:c>
      <x:c r="K35" s="27" t="b">
        <x:v>1</x:v>
      </x:c>
      <x:c r="L35" s="15"/>
      <x:c r="M35" s="18" t="str">
        <x:v>Unmatched</x:v>
      </x:c>
      <x:c r="N35" s="15" t="str">
        <x:v>Map item and complete configuration / plan manually</x:v>
      </x:c>
    </x:row>
    <x:row r="36">
      <x:c r="A36" s="15" t="str">
        <x:v>PANNI K-66</x:v>
      </x:c>
      <x:c r="B36" s="15" t="str"/>
      <x:c r="C36" s="25" t="n">
        <x:v>0</x:v>
      </x:c>
      <x:c r="D36" s="25"/>
      <x:c r="E36" s="25"/>
      <x:c r="F36" s="25"/>
      <x:c r="G36" s="25"/>
      <x:c r="H36" s="25"/>
      <x:c r="I36" s="15" t="str">
        <x:v>UpToOrderMultiple</x:v>
      </x:c>
      <x:c r="J36" s="27" t="b">
        <x:v>0</x:v>
      </x:c>
      <x:c r="K36" s="27" t="b">
        <x:v>1</x:v>
      </x:c>
      <x:c r="L36" s="15"/>
      <x:c r="M36" s="18" t="str">
        <x:v>Unmatched</x:v>
      </x:c>
      <x:c r="N36" s="15" t="str">
        <x:v>Map item and complete configuration / plan manually</x:v>
      </x:c>
    </x:row>
    <x:row r="37">
      <x:c r="A37" s="15" t="str">
        <x:v>PANNI DELUX-333</x:v>
      </x:c>
      <x:c r="B37" s="15" t="str"/>
      <x:c r="C37" s="25" t="n">
        <x:v>0</x:v>
      </x:c>
      <x:c r="D37" s="25"/>
      <x:c r="E37" s="25"/>
      <x:c r="F37" s="25"/>
      <x:c r="G37" s="25"/>
      <x:c r="H37" s="25"/>
      <x:c r="I37" s="15" t="str">
        <x:v>UpToOrderMultiple</x:v>
      </x:c>
      <x:c r="J37" s="27" t="b">
        <x:v>0</x:v>
      </x:c>
      <x:c r="K37" s="27" t="b">
        <x:v>1</x:v>
      </x:c>
      <x:c r="L37" s="15"/>
      <x:c r="M37" s="18" t="str">
        <x:v>Unmatched</x:v>
      </x:c>
      <x:c r="N37" s="15" t="str">
        <x:v>Map item and complete configuration / plan manually</x:v>
      </x:c>
    </x:row>
    <x:row r="38">
      <x:c r="A38" s="15" t="str">
        <x:v>PANNI DELUX-555</x:v>
      </x:c>
      <x:c r="B38" s="15" t="str"/>
      <x:c r="C38" s="25" t="n">
        <x:v>0</x:v>
      </x:c>
      <x:c r="D38" s="25"/>
      <x:c r="E38" s="25"/>
      <x:c r="F38" s="25"/>
      <x:c r="G38" s="25"/>
      <x:c r="H38" s="25"/>
      <x:c r="I38" s="15" t="str">
        <x:v>UpToOrderMultiple</x:v>
      </x:c>
      <x:c r="J38" s="27" t="b">
        <x:v>0</x:v>
      </x:c>
      <x:c r="K38" s="27" t="b">
        <x:v>1</x:v>
      </x:c>
      <x:c r="L38" s="15"/>
      <x:c r="M38" s="18" t="str">
        <x:v>Unmatched</x:v>
      </x:c>
      <x:c r="N38" s="15" t="str">
        <x:v>Map item and complete configuration / plan manually</x:v>
      </x:c>
    </x:row>
    <x:row r="39">
      <x:c r="A39" s="15" t="str">
        <x:v>PANNI K-44</x:v>
      </x:c>
      <x:c r="B39" s="15" t="str"/>
      <x:c r="C39" s="25" t="n">
        <x:v>0</x:v>
      </x:c>
      <x:c r="D39" s="25"/>
      <x:c r="E39" s="25"/>
      <x:c r="F39" s="25"/>
      <x:c r="G39" s="25"/>
      <x:c r="H39" s="25"/>
      <x:c r="I39" s="15" t="str">
        <x:v>UpToOrderMultiple</x:v>
      </x:c>
      <x:c r="J39" s="27" t="b">
        <x:v>0</x:v>
      </x:c>
      <x:c r="K39" s="27" t="b">
        <x:v>1</x:v>
      </x:c>
      <x:c r="L39" s="15"/>
      <x:c r="M39" s="18" t="str">
        <x:v>Unmatched</x:v>
      </x:c>
      <x:c r="N39" s="15" t="str">
        <x:v>Map item and complete configuration / plan manually</x:v>
      </x:c>
    </x:row>
    <x:row r="40">
      <x:c r="A40" s="15" t="str">
        <x:v>PANNI MH-10</x:v>
      </x:c>
      <x:c r="B40" s="15" t="str"/>
      <x:c r="C40" s="25" t="n">
        <x:v>0</x:v>
      </x:c>
      <x:c r="D40" s="25"/>
      <x:c r="E40" s="25"/>
      <x:c r="F40" s="25"/>
      <x:c r="G40" s="25"/>
      <x:c r="H40" s="25"/>
      <x:c r="I40" s="15" t="str">
        <x:v>UpToOrderMultiple</x:v>
      </x:c>
      <x:c r="J40" s="27" t="b">
        <x:v>0</x:v>
      </x:c>
      <x:c r="K40" s="27" t="b">
        <x:v>1</x:v>
      </x:c>
      <x:c r="L40" s="15"/>
      <x:c r="M40" s="18" t="str">
        <x:v>Unmatched</x:v>
      </x:c>
      <x:c r="N40" s="15" t="str">
        <x:v>Map item and complete configuration / plan manually</x:v>
      </x:c>
    </x:row>
    <x:row r="41">
      <x:c r="A41" s="15" t="str">
        <x:v>SPRING</x:v>
      </x:c>
      <x:c r="B41" s="15" t="str">
        <x:v>Kg</x:v>
      </x:c>
      <x:c r="C41" s="25" t="n">
        <x:v>68</x:v>
      </x:c>
      <x:c r="D41" s="25" t="n">
        <x:v>12.516455696202533</x:v>
      </x:c>
      <x:c r="E41" s="25" t="n">
        <x:v>0</x:v>
      </x:c>
      <x:c r="F41" s="25" t="n">
        <x:v>3</x:v>
      </x:c>
      <x:c r="G41" s="25" t="n">
        <x:v>27</x:v>
      </x:c>
      <x:c r="H41" s="25"/>
      <x:c r="I41" s="15" t="str">
        <x:v>UpToOrderMultiple</x:v>
      </x:c>
      <x:c r="J41" s="27" t="b">
        <x:v>0</x:v>
      </x:c>
      <x:c r="K41" s="27" t="b">
        <x:v>1</x:v>
      </x:c>
      <x:c r="L41" s="15" t="str">
        <x:v>=SUM(B3:B5)*0.15</x:v>
      </x:c>
      <x:c r="M41" s="18" t="str">
        <x:v>Unmatched</x:v>
      </x:c>
      <x:c r="N41" s="15" t="str">
        <x:v>Map item and complete configuration / plan manually</x:v>
      </x:c>
    </x:row>
    <x:row r="42">
      <x:c r="A42" s="15" t="str">
        <x:v>RIVET</x:v>
      </x:c>
      <x:c r="B42" s="15" t="str">
        <x:v>Kg</x:v>
      </x:c>
      <x:c r="C42" s="25" t="n">
        <x:v>31</x:v>
      </x:c>
      <x:c r="D42" s="25" t="n">
        <x:v>4.172151898734177</x:v>
      </x:c>
      <x:c r="E42" s="25" t="n">
        <x:v>0</x:v>
      </x:c>
      <x:c r="F42" s="25" t="n">
        <x:v>3</x:v>
      </x:c>
      <x:c r="G42" s="25" t="n">
        <x:v>71</x:v>
      </x:c>
      <x:c r="H42" s="25"/>
      <x:c r="I42" s="15" t="str">
        <x:v>UpToOrderMultiple</x:v>
      </x:c>
      <x:c r="J42" s="27" t="b">
        <x:v>0</x:v>
      </x:c>
      <x:c r="K42" s="27" t="b">
        <x:v>1</x:v>
      </x:c>
      <x:c r="L42" s="15" t="str">
        <x:v>=SUM(B3:B5)*0.05</x:v>
      </x:c>
      <x:c r="M42" s="18" t="str">
        <x:v>Unmatched</x:v>
      </x:c>
      <x:c r="N42" s="15" t="str">
        <x:v>Map item and complete configuration / plan manually</x:v>
      </x:c>
    </x:row>
    <x:row r="43">
      <x:c r="A43" s="15" t="str">
        <x:v>HOOK</x:v>
      </x:c>
      <x:c r="B43" s="15" t="str">
        <x:v>Pcs</x:v>
      </x:c>
      <x:c r="C43" s="25" t="n">
        <x:v>89</x:v>
      </x:c>
      <x:c r="D43" s="25"/>
      <x:c r="E43" s="25"/>
      <x:c r="F43" s="25"/>
      <x:c r="G43" s="25" t="n">
        <x:v>14</x:v>
      </x:c>
      <x:c r="H43" s="25"/>
      <x:c r="I43" s="15" t="str">
        <x:v>UpToOrderMultiple</x:v>
      </x:c>
      <x:c r="J43" s="27" t="b">
        <x:v>0</x:v>
      </x:c>
      <x:c r="K43" s="27" t="b">
        <x:v>1</x:v>
      </x:c>
      <x:c r="L43" s="15"/>
      <x:c r="M43" s="18" t="str">
        <x:v>Unmatched</x:v>
      </x:c>
      <x:c r="N43" s="15" t="str">
        <x:v>Map item and complete configuration / plan manually</x:v>
      </x:c>
    </x:row>
    <x:row r="44">
      <x:c r="A44" s="15" t="str">
        <x:v>ORA SPRING</x:v>
      </x:c>
      <x:c r="B44" s="15" t="str"/>
      <x:c r="C44" s="25"/>
      <x:c r="D44" s="25" t="n">
        <x:v>0</x:v>
      </x:c>
      <x:c r="E44" s="25"/>
      <x:c r="F44" s="25" t="n">
        <x:v>3</x:v>
      </x:c>
      <x:c r="G44" s="25" t="n">
        <x:v>96</x:v>
      </x:c>
      <x:c r="H44" s="25"/>
      <x:c r="I44" s="15" t="str">
        <x:v>UpToOrderMultiple</x:v>
      </x:c>
      <x:c r="J44" s="27" t="b">
        <x:v>0</x:v>
      </x:c>
      <x:c r="K44" s="27" t="b">
        <x:v>1</x:v>
      </x:c>
      <x:c r="L44" s="15" t="str">
        <x:v>=B14*0.15</x:v>
      </x:c>
      <x:c r="M44" s="18" t="str">
        <x:v>Unmatched</x:v>
      </x:c>
      <x:c r="N44" s="15" t="str">
        <x:v>Map item and complete configuration / plan manually</x:v>
      </x:c>
    </x:row>
    <x:row r="45">
      <x:c r="A45" s="15" t="str">
        <x:v>CONTAINER PANNI</x:v>
      </x:c>
      <x:c r="B45" s="15" t="str">
        <x:v>Kg</x:v>
      </x:c>
      <x:c r="C45" s="25" t="n">
        <x:v>0</x:v>
      </x:c>
      <x:c r="D45" s="25"/>
      <x:c r="E45" s="25"/>
      <x:c r="F45" s="25"/>
      <x:c r="G45" s="25" t="n">
        <x:v>65</x:v>
      </x:c>
      <x:c r="H45" s="25"/>
      <x:c r="I45" s="15" t="str">
        <x:v>UpToOrderMultiple</x:v>
      </x:c>
      <x:c r="J45" s="27" t="b">
        <x:v>0</x:v>
      </x:c>
      <x:c r="K45" s="27" t="b">
        <x:v>1</x:v>
      </x:c>
      <x:c r="L45" s="15"/>
      <x:c r="M45" s="18" t="str">
        <x:v>Unmatched</x:v>
      </x:c>
      <x:c r="N45" s="15" t="str">
        <x:v>Map item and complete configuration / plan manually</x:v>
      </x:c>
    </x:row>
    <x:row r="46">
      <x:c r="A46" s="15" t="str">
        <x:v>OUTER BOX</x:v>
      </x:c>
      <x:c r="B46" s="15" t="str">
        <x:v>Pcs</x:v>
      </x:c>
      <x:c r="C46" s="25" t="n">
        <x:v>0</x:v>
      </x:c>
      <x:c r="D46" s="25"/>
      <x:c r="E46" s="25"/>
      <x:c r="F46" s="25"/>
      <x:c r="G46" s="25"/>
      <x:c r="H46" s="25"/>
      <x:c r="I46" s="15" t="str">
        <x:v>UpToOrderMultiple</x:v>
      </x:c>
      <x:c r="J46" s="27" t="b">
        <x:v>0</x:v>
      </x:c>
      <x:c r="K46" s="27" t="b">
        <x:v>1</x:v>
      </x:c>
      <x:c r="L46" s="15"/>
      <x:c r="M46" s="18" t="str">
        <x:v>Unmatched</x:v>
      </x:c>
      <x:c r="N46" s="15" t="str">
        <x:v>Map item and complete configuration / plan manually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3" hidden="0" customWidth="1"/>
    <x:col min="4" max="4" width="19" hidden="0" customWidth="1"/>
    <x:col min="5" max="5" width="24" hidden="0" customWidth="1"/>
    <x:col min="6" max="6" width="20" hidden="0" customWidth="1"/>
    <x:col min="7" max="7" width="68" hidden="0" customWidth="1"/>
  </x:cols>
  <x:sheetData>
    <x:row r="1" ht="28" customHeight="1">
      <x:c r="A1" s="14" t="str">
        <x:v>Workbook Compatibility Analysis</x:v>
      </x:c>
      <x:c r="B1" s="15"/>
      <x:c r="C1" s="15"/>
      <x:c r="D1" s="15"/>
      <x:c r="E1" s="15"/>
      <x:c r="F1" s="15"/>
      <x:c r="G1" s="15"/>
    </x:row>
    <x:row r="2" ht="30" customHeight="1">
      <x:c r="A2" s="16" t="str">
        <x:v>Cleaned API result uses physical stock, a strict stock &gt; reorder-point zero rule, and max(shortage, MOQ). Differences caused by workbook helper/random stock are expected.</x:v>
      </x:c>
      <x:c r="B2" s="15"/>
      <x:c r="C2" s="15"/>
      <x:c r="D2" s="15"/>
      <x:c r="E2" s="15"/>
      <x:c r="F2" s="15"/>
      <x:c r="G2" s="15"/>
    </x:row>
    <x:row r="3" ht="24" customHeight="1">
      <x:c r="A3" s="17" t="str">
        <x:v>Material</x:v>
      </x:c>
      <x:c r="B3" s="17" t="str">
        <x:v>Physical Stock</x:v>
      </x:c>
      <x:c r="C3" s="17" t="str">
        <x:v>Workbook Displayed Output</x:v>
      </x:c>
      <x:c r="D3" s="17" t="str">
        <x:v>Cleaned API Result</x:v>
      </x:c>
      <x:c r="E3" s="17" t="str">
        <x:v>Difference (API - Workbook)</x:v>
      </x:c>
      <x:c r="F3" s="17" t="str">
        <x:v>Result</x:v>
      </x:c>
      <x:c r="G3" s="17" t="str">
        <x:v>Reason</x:v>
      </x:c>
    </x:row>
    <x:row r="4">
      <x:c r="A4" s="15" t="str">
        <x:v>RAINBOW YGP</x:v>
      </x:c>
      <x:c r="B4" s="25" t="n">
        <x:v>42</x:v>
      </x:c>
      <x:c r="C4" s="25" t="n">
        <x:v>197.0379746835443</x:v>
      </x:c>
      <x:c r="D4" s="25" t="n">
        <x:v>177.0379746835443</x:v>
      </x:c>
      <x:c r="E4" s="25" t="n">
        <x:f>IF(OR(C4="",D4=""),"",D4-C4)</x:f>
        <x:v>-20</x:v>
      </x:c>
      <x:c r="F4" s="18" t="str">
        <x:v>Expected difference</x:v>
      </x:c>
      <x:c r="G4" s="15" t="str">
        <x:v>Workbook output references STOCK helper/TOTAL rather than physical CURRENT STOCK; API intentionally uses physical stock.</x:v>
      </x:c>
    </x:row>
    <x:row r="5">
      <x:c r="A5" s="15" t="str">
        <x:v>RAINBOW ORANGE</x:v>
      </x:c>
      <x:c r="B5" s="25" t="n">
        <x:v>78</x:v>
      </x:c>
      <x:c r="C5" s="25" t="n">
        <x:v>78</x:v>
      </x:c>
      <x:c r="D5" s="25" t="n">
        <x:v>0</x:v>
      </x:c>
      <x:c r="E5" s="25" t="str">
        <x:f>IF(OR(C5="",D5=""),"",D5-C5)</x:f>
      </x:c>
      <x:c r="F5" s="18" t="str">
        <x:v>Expected difference</x:v>
      </x:c>
      <x:c r="G5" s="15" t="str">
        <x:v>Workbook output references STOCK helper/TOTAL rather than physical CURRENT STOCK; API intentionally uses physical stock.</x:v>
      </x:c>
    </x:row>
    <x:row r="6">
      <x:c r="A6" s="15" t="str">
        <x:v>RAINBOW BLUE</x:v>
      </x:c>
      <x:c r="B6" s="25" t="n">
        <x:v>15</x:v>
      </x:c>
      <x:c r="C6" s="25" t="n">
        <x:v>0</x:v>
      </x:c>
      <x:c r="D6" s="25" t="n">
        <x:v>12</x:v>
      </x:c>
      <x:c r="E6" s="25" t="str">
        <x:f>IF(OR(C6="",D6=""),"",D6-C6)</x:f>
      </x:c>
      <x:c r="F6" s="18" t="str">
        <x:v>Expected difference</x:v>
      </x:c>
      <x:c r="G6" s="15" t="str">
        <x:v>Workbook output references STOCK helper/TOTAL rather than physical CURRENT STOCK; API intentionally uses physical stock.</x:v>
      </x:c>
    </x:row>
    <x:row r="7">
      <x:c r="A7" s="15" t="str">
        <x:v>MH HANGER</x:v>
      </x:c>
      <x:c r="B7" s="25" t="n">
        <x:v>0</x:v>
      </x:c>
      <x:c r="C7" s="25" t="n">
        <x:v>5960</x:v>
      </x:c>
      <x:c r="D7" s="25" t="n">
        <x:v>5960</x:v>
      </x:c>
      <x:c r="E7" s="25" t="n">
        <x:f>IF(OR(C7="",D7=""),"",D7-C7)</x:f>
        <x:v>0</x:v>
      </x:c>
      <x:c r="F7" s="30" t="str">
        <x:v>Compatible</x:v>
      </x:c>
      <x:c r="G7" s="15" t="str">
        <x:v>Formula-compatible after applying the documented physical-stock rule.</x:v>
      </x:c>
    </x:row>
    <x:row r="8">
      <x:c r="A8" s="15" t="str">
        <x:v>BLACK HANGER</x:v>
      </x:c>
      <x:c r="B8" s="25" t="n">
        <x:v>0</x:v>
      </x:c>
      <x:c r="C8" s="25" t="n">
        <x:v>24630</x:v>
      </x:c>
      <x:c r="D8" s="25" t="n">
        <x:v>24630</x:v>
      </x:c>
      <x:c r="E8" s="25" t="n">
        <x:f>IF(OR(C8="",D8=""),"",D8-C8)</x:f>
        <x:v>0</x:v>
      </x:c>
      <x:c r="F8" s="30" t="str">
        <x:v>Compatible</x:v>
      </x:c>
      <x:c r="G8" s="15" t="str">
        <x:v>Formula-compatible after applying the documented physical-stock rule.</x:v>
      </x:c>
    </x:row>
    <x:row r="9">
      <x:c r="A9" s="15" t="str">
        <x:v>WHITE HANGER</x:v>
      </x:c>
      <x:c r="B9" s="25" t="n">
        <x:v>0</x:v>
      </x:c>
      <x:c r="C9" s="25" t="n">
        <x:v>7440</x:v>
      </x:c>
      <x:c r="D9" s="25" t="n">
        <x:v>7440</x:v>
      </x:c>
      <x:c r="E9" s="25" t="n">
        <x:f>IF(OR(C9="",D9=""),"",D9-C9)</x:f>
        <x:v>0</x:v>
      </x:c>
      <x:c r="F9" s="30" t="str">
        <x:v>Compatible</x:v>
      </x:c>
      <x:c r="G9" s="15" t="str">
        <x:v>Formula-compatible after applying the documented physical-stock rule.</x:v>
      </x:c>
    </x:row>
    <x:row r="10">
      <x:c r="A10" s="15" t="str">
        <x:v>GREY HANGER</x:v>
      </x:c>
      <x:c r="B10" s="25" t="n">
        <x:v>0</x:v>
      </x:c>
      <x:c r="C10" s="25" t="n">
        <x:v>8600</x:v>
      </x:c>
      <x:c r="D10" s="25" t="n">
        <x:v>8600</x:v>
      </x:c>
      <x:c r="E10" s="25" t="n">
        <x:f>IF(OR(C10="",D10=""),"",D10-C10)</x:f>
        <x:v>0</x:v>
      </x:c>
      <x:c r="F10" s="30" t="str">
        <x:v>Compatible</x:v>
      </x:c>
      <x:c r="G10" s="15" t="str">
        <x:v>Formula-compatible after applying the documented physical-stock rule.</x:v>
      </x:c>
    </x:row>
    <x:row r="11">
      <x:c r="A11" s="15" t="str">
        <x:v>FLEXI BLACK HANGER</x:v>
      </x:c>
      <x:c r="B11" s="25" t="n">
        <x:v>0</x:v>
      </x:c>
      <x:c r="C11" s="25" t="n">
        <x:v>3360</x:v>
      </x:c>
      <x:c r="D11" s="25" t="n">
        <x:v>3360</x:v>
      </x:c>
      <x:c r="E11" s="25" t="n">
        <x:f>IF(OR(C11="",D11=""),"",D11-C11)</x:f>
        <x:v>0</x:v>
      </x:c>
      <x:c r="F11" s="30" t="str">
        <x:v>Compatible</x:v>
      </x:c>
      <x:c r="G11" s="15" t="str">
        <x:v>Formula-compatible after applying the documented physical-stock rule.</x:v>
      </x:c>
    </x:row>
    <x:row r="12">
      <x:c r="A12" s="15" t="str">
        <x:v>RYNO CLIP</x:v>
      </x:c>
      <x:c r="B12" s="25" t="n">
        <x:v>0</x:v>
      </x:c>
      <x:c r="C12" s="25" t="n">
        <x:v>369.6</x:v>
      </x:c>
      <x:c r="D12" s="25" t="n">
        <x:v>369.6</x:v>
      </x:c>
      <x:c r="E12" s="25" t="n">
        <x:f>IF(OR(C12="",D12=""),"",D12-C12)</x:f>
        <x:v>0</x:v>
      </x:c>
      <x:c r="F12" s="30" t="str">
        <x:v>Compatible</x:v>
      </x:c>
      <x:c r="G12" s="15" t="str">
        <x:v>Formula-compatible after applying the documented physical-stock rule.</x:v>
      </x:c>
    </x:row>
    <x:row r="13">
      <x:c r="A13" s="15" t="str">
        <x:v>ORA CLIP</x:v>
      </x:c>
      <x:c r="B13" s="25" t="n">
        <x:v>91</x:v>
      </x:c>
      <x:c r="C13" s="25" t="n">
        <x:v>0</x:v>
      </x:c>
      <x:c r="D13" s="25" t="n">
        <x:v>0</x:v>
      </x:c>
      <x:c r="E13" s="25" t="str">
        <x:f>IF(OR(C13="",D13=""),"",D13-C13)</x:f>
      </x:c>
      <x:c r="F13" s="30" t="str">
        <x:v>Compatible</x:v>
      </x:c>
      <x:c r="G13" s="15" t="str">
        <x:v>Manual/no complete automatic formula; API returns zero with a configuration warning.</x:v>
      </x:c>
    </x:row>
    <x:row r="14">
      <x:c r="A14" s="15" t="str">
        <x:v>CELEBRATION CLIP</x:v>
      </x:c>
      <x:c r="B14" s="25" t="n">
        <x:v>0</x:v>
      </x:c>
      <x:c r="C14" s="25" t="n">
        <x:v>0</x:v>
      </x:c>
      <x:c r="D14" s="25" t="n">
        <x:v>0</x:v>
      </x:c>
      <x:c r="E14" s="25" t="str">
        <x:f>IF(OR(C14="",D14=""),"",D14-C14)</x:f>
      </x:c>
      <x:c r="F14" s="30" t="str">
        <x:v>Compatible</x:v>
      </x:c>
      <x:c r="G14" s="15" t="str">
        <x:v>Manual/no complete automatic formula; API returns zero with a configuration warning.</x:v>
      </x:c>
    </x:row>
    <x:row r="15">
      <x:c r="A15" s="15" t="str">
        <x:v>KEEPER 44</x:v>
      </x:c>
      <x:c r="B15" s="25" t="n">
        <x:v>33</x:v>
      </x:c>
      <x:c r="C15" s="25" t="n">
        <x:v>117.36666666666667</x:v>
      </x:c>
      <x:c r="D15" s="25" t="n">
        <x:v>154.36666666666667</x:v>
      </x:c>
      <x:c r="E15" s="25" t="n">
        <x:f>IF(OR(C15="",D15=""),"",D15-C15)</x:f>
        <x:v>37</x:v>
      </x:c>
      <x:c r="F15" s="18" t="str">
        <x:v>Expected difference</x:v>
      </x:c>
      <x:c r="G15" s="15" t="str">
        <x:v>Workbook output references STOCK helper/TOTAL rather than physical CURRENT STOCK; API intentionally uses physical stock.</x:v>
      </x:c>
    </x:row>
    <x:row r="16">
      <x:c r="A16" s="15" t="str">
        <x:v>KEEPER 55</x:v>
      </x:c>
      <x:c r="B16" s="25" t="n">
        <x:v>64</x:v>
      </x:c>
      <x:c r="C16" s="25" t="n">
        <x:v>845.8333333</x:v>
      </x:c>
      <x:c r="D16" s="25" t="n">
        <x:v>872.8333333</x:v>
      </x:c>
      <x:c r="E16" s="25" t="n">
        <x:f>IF(OR(C16="",D16=""),"",D16-C16)</x:f>
        <x:v>27</x:v>
      </x:c>
      <x:c r="F16" s="18" t="str">
        <x:v>Expected difference</x:v>
      </x:c>
      <x:c r="G16" s="15" t="str">
        <x:v>Workbook output references STOCK helper/TOTAL rather than physical CURRENT STOCK; API intentionally uses physical stock.</x:v>
      </x:c>
    </x:row>
    <x:row r="17">
      <x:c r="A17" s="15" t="str">
        <x:v>KEEPER 66</x:v>
      </x:c>
      <x:c r="B17" s="25" t="n">
        <x:v>21</x:v>
      </x:c>
      <x:c r="C17" s="25" t="n">
        <x:v>139.7</x:v>
      </x:c>
      <x:c r="D17" s="25" t="n">
        <x:v>190.7</x:v>
      </x:c>
      <x:c r="E17" s="25" t="n">
        <x:f>IF(OR(C17="",D17=""),"",D17-C17)</x:f>
        <x:v>51</x:v>
      </x:c>
      <x:c r="F17" s="18" t="str">
        <x:v>Expected difference</x:v>
      </x:c>
      <x:c r="G17" s="15" t="str">
        <x:v>Workbook output references STOCK helper/TOTAL rather than physical CURRENT STOCK; API intentionally uses physical stock.</x:v>
      </x:c>
    </x:row>
    <x:row r="18">
      <x:c r="A18" s="15" t="str">
        <x:v>DELUX 222</x:v>
      </x:c>
      <x:c r="B18" s="25" t="n">
        <x:v>87</x:v>
      </x:c>
      <x:c r="C18" s="25" t="n">
        <x:v>76</x:v>
      </x:c>
      <x:c r="D18" s="25" t="n">
        <x:v>76</x:v>
      </x:c>
      <x:c r="E18" s="25" t="n">
        <x:f>IF(OR(C18="",D18=""),"",D18-C18)</x:f>
        <x:v>0</x:v>
      </x:c>
      <x:c r="F18" s="30" t="str">
        <x:v>Compatible</x:v>
      </x:c>
      <x:c r="G18" s="15" t="str">
        <x:v>Workbook output references STOCK helper/TOTAL rather than physical CURRENT STOCK; API intentionally uses physical stock.</x:v>
      </x:c>
    </x:row>
    <x:row r="19">
      <x:c r="A19" s="15" t="str">
        <x:v>DELUX 333</x:v>
      </x:c>
      <x:c r="B19" s="25" t="n">
        <x:v>56</x:v>
      </x:c>
      <x:c r="C19" s="25" t="n">
        <x:v>239.6333333</x:v>
      </x:c>
      <x:c r="D19" s="25" t="n">
        <x:v>194.6333333</x:v>
      </x:c>
      <x:c r="E19" s="25" t="n">
        <x:f>IF(OR(C19="",D19=""),"",D19-C19)</x:f>
        <x:v>-45</x:v>
      </x:c>
      <x:c r="F19" s="18" t="str">
        <x:v>Expected difference</x:v>
      </x:c>
      <x:c r="G19" s="15" t="str">
        <x:v>Workbook output references STOCK helper/TOTAL rather than physical CURRENT STOCK; API intentionally uses physical stock.</x:v>
      </x:c>
    </x:row>
    <x:row r="20">
      <x:c r="A20" s="15" t="str">
        <x:v>DELUX 444</x:v>
      </x:c>
      <x:c r="B20" s="25" t="n">
        <x:v>19</x:v>
      </x:c>
      <x:c r="C20" s="25" t="n">
        <x:v>318.3333333</x:v>
      </x:c>
      <x:c r="D20" s="25" t="n">
        <x:v>370.3333333</x:v>
      </x:c>
      <x:c r="E20" s="25" t="n">
        <x:f>IF(OR(C20="",D20=""),"",D20-C20)</x:f>
        <x:v>52</x:v>
      </x:c>
      <x:c r="F20" s="18" t="str">
        <x:v>Expected difference</x:v>
      </x:c>
      <x:c r="G20" s="15" t="str">
        <x:v>Workbook output references STOCK helper/TOTAL rather than physical CURRENT STOCK; API intentionally uses physical stock.</x:v>
      </x:c>
    </x:row>
    <x:row r="21">
      <x:c r="A21" s="15" t="str">
        <x:v>DELUX 555</x:v>
      </x:c>
      <x:c r="B21" s="25" t="n">
        <x:v>72</x:v>
      </x:c>
      <x:c r="C21" s="25" t="n">
        <x:v>361.2</x:v>
      </x:c>
      <x:c r="D21" s="25" t="n">
        <x:v>322.2</x:v>
      </x:c>
      <x:c r="E21" s="25" t="n">
        <x:f>IF(OR(C21="",D21=""),"",D21-C21)</x:f>
        <x:v>-39</x:v>
      </x:c>
      <x:c r="F21" s="18" t="str">
        <x:v>Expected difference</x:v>
      </x:c>
      <x:c r="G21" s="15" t="str">
        <x:v>Workbook output references STOCK helper/TOTAL rather than physical CURRENT STOCK; API intentionally uses physical stock.</x:v>
      </x:c>
    </x:row>
    <x:row r="22">
      <x:c r="A22" s="15" t="str">
        <x:v>OREO CLIP (DZN)</x:v>
      </x:c>
      <x:c r="B22" s="25" t="n">
        <x:v>0</x:v>
      </x:c>
      <x:c r="C22" s="25" t="n">
        <x:v>2908.5</x:v>
      </x:c>
      <x:c r="D22" s="25" t="n">
        <x:v>2908.5</x:v>
      </x:c>
      <x:c r="E22" s="25" t="n">
        <x:f>IF(OR(C22="",D22=""),"",D22-C22)</x:f>
        <x:v>0</x:v>
      </x:c>
      <x:c r="F22" s="30" t="str">
        <x:v>Compatible</x:v>
      </x:c>
      <x:c r="G22" s="15" t="str">
        <x:v>Formula-compatible after applying the documented physical-stock rule.</x:v>
      </x:c>
    </x:row>
    <x:row r="23">
      <x:c r="A23" s="15" t="str">
        <x:v>SQUARE HANGER</x:v>
      </x:c>
      <x:c r="B23" s="25" t="n">
        <x:v>48</x:v>
      </x:c>
      <x:c r="C23" s="25" t="n">
        <x:v>214</x:v>
      </x:c>
      <x:c r="D23" s="25" t="n">
        <x:v>240</x:v>
      </x:c>
      <x:c r="E23" s="25" t="n">
        <x:f>IF(OR(C23="",D23=""),"",D23-C23)</x:f>
        <x:v>26</x:v>
      </x:c>
      <x:c r="F23" s="18" t="str">
        <x:v>Expected difference</x:v>
      </x:c>
      <x:c r="G23" s="15" t="str">
        <x:v>Workbook output references STOCK helper/TOTAL rather than physical CURRENT STOCK; API intentionally uses physical stock.</x:v>
      </x:c>
    </x:row>
    <x:row r="24">
      <x:c r="A24" s="15" t="str">
        <x:v>DELUX CLIP (DZN)</x:v>
      </x:c>
      <x:c r="B24" s="25" t="n">
        <x:v>95</x:v>
      </x:c>
      <x:c r="C24" s="25" t="n">
        <x:v>1614</x:v>
      </x:c>
      <x:c r="D24" s="25" t="n">
        <x:v>1609</x:v>
      </x:c>
      <x:c r="E24" s="25" t="n">
        <x:f>IF(OR(C24="",D24=""),"",D24-C24)</x:f>
        <x:v>-5</x:v>
      </x:c>
      <x:c r="F24" s="18" t="str">
        <x:v>Expected difference</x:v>
      </x:c>
      <x:c r="G24" s="15" t="str">
        <x:v>Workbook output references STOCK helper/TOTAL rather than physical CURRENT STOCK; API intentionally uses physical stock.</x:v>
      </x:c>
    </x:row>
    <x:row r="25">
      <x:c r="A25" s="15" t="str">
        <x:v>DELUX HANGER</x:v>
      </x:c>
      <x:c r="B25" s="25" t="n">
        <x:v>27</x:v>
      </x:c>
      <x:c r="C25" s="25" t="n">
        <x:v>287</x:v>
      </x:c>
      <x:c r="D25" s="25" t="n">
        <x:v>325</x:v>
      </x:c>
      <x:c r="E25" s="25" t="n">
        <x:f>IF(OR(C25="",D25=""),"",D25-C25)</x:f>
        <x:v>38</x:v>
      </x:c>
      <x:c r="F25" s="18" t="str">
        <x:v>Expected difference</x:v>
      </x:c>
      <x:c r="G25" s="15" t="str">
        <x:v>Workbook output references STOCK helper/TOTAL rather than physical CURRENT STOCK; API intentionally uses physical stock.</x:v>
      </x:c>
    </x:row>
    <x:row r="26">
      <x:c r="A26" s="15" t="str">
        <x:v>SPIN HANGER</x:v>
      </x:c>
      <x:c r="B26" s="25" t="n">
        <x:v>61</x:v>
      </x:c>
      <x:c r="C26" s="25" t="n">
        <x:v>320</x:v>
      </x:c>
      <x:c r="D26" s="25" t="n">
        <x:v>315</x:v>
      </x:c>
      <x:c r="E26" s="25" t="n">
        <x:f>IF(OR(C26="",D26=""),"",D26-C26)</x:f>
        <x:v>-5</x:v>
      </x:c>
      <x:c r="F26" s="18" t="str">
        <x:v>Expected difference</x:v>
      </x:c>
      <x:c r="G26" s="15" t="str">
        <x:v>Workbook output references STOCK helper/TOTAL rather than physical CURRENT STOCK; API intentionally uses physical stock.</x:v>
      </x:c>
    </x:row>
    <x:row r="27">
      <x:c r="A27" s="15" t="str">
        <x:v>WHITE BOX K-55</x:v>
      </x:c>
      <x:c r="B27" s="25" t="n">
        <x:v>38</x:v>
      </x:c>
      <x:c r="C27" s="25" t="n">
        <x:v>513</x:v>
      </x:c>
      <x:c r="D27" s="25" t="n">
        <x:v>565</x:v>
      </x:c>
      <x:c r="E27" s="25" t="n">
        <x:f>IF(OR(C27="",D27=""),"",D27-C27)</x:f>
        <x:v>52</x:v>
      </x:c>
      <x:c r="F27" s="18" t="str">
        <x:v>Expected difference</x:v>
      </x:c>
      <x:c r="G27" s="15" t="str">
        <x:v>Workbook output references STOCK helper/TOTAL rather than physical CURRENT STOCK; API intentionally uses physical stock.</x:v>
      </x:c>
    </x:row>
    <x:row r="28">
      <x:c r="A28" s="15" t="str">
        <x:v>R-36 BOX K-55</x:v>
      </x:c>
      <x:c r="B28" s="25" t="n">
        <x:v>83</x:v>
      </x:c>
      <x:c r="C28" s="25" t="n">
        <x:v>271</x:v>
      </x:c>
      <x:c r="D28" s="25" t="n">
        <x:v>469</x:v>
      </x:c>
      <x:c r="E28" s="25" t="n">
        <x:f>IF(OR(C28="",D28=""),"",D28-C28)</x:f>
        <x:v>198</x:v>
      </x:c>
      <x:c r="F28" s="18" t="str">
        <x:v>Expected difference</x:v>
      </x:c>
      <x:c r="G28" s="15" t="str">
        <x:v>Workbook output references STOCK helper/TOTAL rather than physical CURRENT STOCK; API intentionally uses physical stock.</x:v>
      </x:c>
    </x:row>
    <x:row r="29">
      <x:c r="A29" s="15" t="str">
        <x:v>WHITE BOX K-66</x:v>
      </x:c>
      <x:c r="B29" s="25" t="n">
        <x:v>14</x:v>
      </x:c>
      <x:c r="C29" s="25" t="n">
        <x:v>271</x:v>
      </x:c>
      <x:c r="D29" s="25" t="n">
        <x:v>334</x:v>
      </x:c>
      <x:c r="E29" s="25" t="n">
        <x:f>IF(OR(C29="",D29=""),"",D29-C29)</x:f>
        <x:v>63</x:v>
      </x:c>
      <x:c r="F29" s="18" t="str">
        <x:v>Expected difference</x:v>
      </x:c>
      <x:c r="G29" s="15" t="str">
        <x:v>Workbook output references STOCK helper/TOTAL rather than physical CURRENT STOCK; API intentionally uses physical stock.</x:v>
      </x:c>
    </x:row>
    <x:row r="30">
      <x:c r="A30" s="15" t="str">
        <x:v>WHITE BOX SQUARE HANGER</x:v>
      </x:c>
      <x:c r="B30" s="25" t="n">
        <x:v>59</x:v>
      </x:c>
      <x:c r="C30" s="25" t="n">
        <x:v>534</x:v>
      </x:c>
      <x:c r="D30" s="25" t="n">
        <x:v>493</x:v>
      </x:c>
      <x:c r="E30" s="25" t="n">
        <x:f>IF(OR(C30="",D30=""),"",D30-C30)</x:f>
        <x:v>-41</x:v>
      </x:c>
      <x:c r="F30" s="18" t="str">
        <x:v>Expected difference</x:v>
      </x:c>
      <x:c r="G30" s="15" t="str">
        <x:v>Workbook output references STOCK helper/TOTAL rather than physical CURRENT STOCK; API intentionally uses physical stock.</x:v>
      </x:c>
    </x:row>
    <x:row r="31">
      <x:c r="A31" s="15" t="str">
        <x:v>FLEXI-16 BOX</x:v>
      </x:c>
      <x:c r="B31" s="25" t="n">
        <x:v>92</x:v>
      </x:c>
      <x:c r="C31" s="25" t="n">
        <x:v>216.5</x:v>
      </x:c>
      <x:c r="D31" s="25" t="n">
        <x:v>170.5</x:v>
      </x:c>
      <x:c r="E31" s="25" t="n">
        <x:f>IF(OR(C31="",D31=""),"",D31-C31)</x:f>
        <x:v>-46</x:v>
      </x:c>
      <x:c r="F31" s="18" t="str">
        <x:v>Expected difference</x:v>
      </x:c>
      <x:c r="G31" s="15" t="str">
        <x:v>Workbook output references STOCK helper/TOTAL rather than physical CURRENT STOCK; API intentionally uses physical stock.</x:v>
      </x:c>
    </x:row>
    <x:row r="32">
      <x:c r="A32" s="15" t="str">
        <x:v>MH HANGER BOX</x:v>
      </x:c>
      <x:c r="B32" s="25" t="n">
        <x:v>24</x:v>
      </x:c>
      <x:c r="C32" s="25" t="n">
        <x:v>1639.5</x:v>
      </x:c>
      <x:c r="D32" s="25" t="n">
        <x:v>1713.5</x:v>
      </x:c>
      <x:c r="E32" s="25" t="n">
        <x:f>IF(OR(C32="",D32=""),"",D32-C32)</x:f>
        <x:v>74</x:v>
      </x:c>
      <x:c r="F32" s="18" t="str">
        <x:v>Expected difference</x:v>
      </x:c>
      <x:c r="G32" s="15" t="str">
        <x:v>Workbook output references STOCK helper/TOTAL rather than physical CURRENT STOCK; API intentionally uses physical stock.</x:v>
      </x:c>
    </x:row>
    <x:row r="33">
      <x:c r="A33" s="15" t="str">
        <x:v>BH-25 WHITE BOX</x:v>
      </x:c>
      <x:c r="B33" s="25" t="n">
        <x:v>77</x:v>
      </x:c>
      <x:c r="C33" s="25" t="n">
        <x:v>170</x:v>
      </x:c>
      <x:c r="D33" s="25" t="n">
        <x:v>143</x:v>
      </x:c>
      <x:c r="E33" s="25" t="n">
        <x:f>IF(OR(C33="",D33=""),"",D33-C33)</x:f>
        <x:v>-27</x:v>
      </x:c>
      <x:c r="F33" s="18" t="str">
        <x:v>Expected difference</x:v>
      </x:c>
      <x:c r="G33" s="15" t="str">
        <x:v>Workbook output references STOCK helper/TOTAL rather than physical CURRENT STOCK; API intentionally uses physical stock.</x:v>
      </x:c>
    </x:row>
    <x:row r="34">
      <x:c r="A34" s="15" t="str">
        <x:v>BH-40 WHITE BOX</x:v>
      </x:c>
      <x:c r="B34" s="25" t="n">
        <x:v>41</x:v>
      </x:c>
      <x:c r="C34" s="25" t="n">
        <x:v>716</x:v>
      </x:c>
      <x:c r="D34" s="25" t="n">
        <x:v>763</x:v>
      </x:c>
      <x:c r="E34" s="25" t="n">
        <x:f>IF(OR(C34="",D34=""),"",D34-C34)</x:f>
        <x:v>47</x:v>
      </x:c>
      <x:c r="F34" s="18" t="str">
        <x:v>Expected difference</x:v>
      </x:c>
      <x:c r="G34" s="15" t="str">
        <x:v>Workbook output references STOCK helper/TOTAL rather than physical CURRENT STOCK; API intentionally uses physical stock.</x:v>
      </x:c>
    </x:row>
    <x:row r="35">
      <x:c r="A35" s="15" t="str">
        <x:v>PANNI K-55</x:v>
      </x:c>
      <x:c r="B35" s="25" t="n">
        <x:v>0</x:v>
      </x:c>
      <x:c r="C35" s="25" t="n">
        <x:v>0</x:v>
      </x:c>
      <x:c r="D35" s="25" t="n">
        <x:v>0</x:v>
      </x:c>
      <x:c r="E35" s="25" t="str">
        <x:f>IF(OR(C35="",D35=""),"",D35-C35)</x:f>
      </x:c>
      <x:c r="F35" s="30" t="str">
        <x:v>Compatible</x:v>
      </x:c>
      <x:c r="G35" s="15" t="str">
        <x:v>Manual/no complete automatic formula; API returns zero with a configuration warning.</x:v>
      </x:c>
    </x:row>
    <x:row r="36">
      <x:c r="A36" s="15" t="str">
        <x:v>PANNI K-66</x:v>
      </x:c>
      <x:c r="B36" s="25" t="n">
        <x:v>0</x:v>
      </x:c>
      <x:c r="C36" s="25" t="n">
        <x:v>0</x:v>
      </x:c>
      <x:c r="D36" s="25" t="n">
        <x:v>0</x:v>
      </x:c>
      <x:c r="E36" s="25" t="str">
        <x:f>IF(OR(C36="",D36=""),"",D36-C36)</x:f>
      </x:c>
      <x:c r="F36" s="30" t="str">
        <x:v>Compatible</x:v>
      </x:c>
      <x:c r="G36" s="15" t="str">
        <x:v>Manual/no complete automatic formula; API returns zero with a configuration warning.</x:v>
      </x:c>
    </x:row>
    <x:row r="37">
      <x:c r="A37" s="15" t="str">
        <x:v>PANNI DELUX-333</x:v>
      </x:c>
      <x:c r="B37" s="25" t="n">
        <x:v>0</x:v>
      </x:c>
      <x:c r="C37" s="25" t="n">
        <x:v>0</x:v>
      </x:c>
      <x:c r="D37" s="25" t="n">
        <x:v>0</x:v>
      </x:c>
      <x:c r="E37" s="25" t="str">
        <x:f>IF(OR(C37="",D37=""),"",D37-C37)</x:f>
      </x:c>
      <x:c r="F37" s="30" t="str">
        <x:v>Compatible</x:v>
      </x:c>
      <x:c r="G37" s="15" t="str">
        <x:v>Manual/no complete automatic formula; API returns zero with a configuration warning.</x:v>
      </x:c>
    </x:row>
    <x:row r="38">
      <x:c r="A38" s="15" t="str">
        <x:v>PANNI DELUX-555</x:v>
      </x:c>
      <x:c r="B38" s="25" t="n">
        <x:v>0</x:v>
      </x:c>
      <x:c r="C38" s="25" t="n">
        <x:v>0</x:v>
      </x:c>
      <x:c r="D38" s="25" t="n">
        <x:v>0</x:v>
      </x:c>
      <x:c r="E38" s="25" t="str">
        <x:f>IF(OR(C38="",D38=""),"",D38-C38)</x:f>
      </x:c>
      <x:c r="F38" s="30" t="str">
        <x:v>Compatible</x:v>
      </x:c>
      <x:c r="G38" s="15" t="str">
        <x:v>Manual/no complete automatic formula; API returns zero with a configuration warning.</x:v>
      </x:c>
    </x:row>
    <x:row r="39">
      <x:c r="A39" s="15" t="str">
        <x:v>PANNI K-44</x:v>
      </x:c>
      <x:c r="B39" s="25" t="n">
        <x:v>0</x:v>
      </x:c>
      <x:c r="C39" s="25" t="n">
        <x:v>0</x:v>
      </x:c>
      <x:c r="D39" s="25" t="n">
        <x:v>0</x:v>
      </x:c>
      <x:c r="E39" s="25" t="str">
        <x:f>IF(OR(C39="",D39=""),"",D39-C39)</x:f>
      </x:c>
      <x:c r="F39" s="30" t="str">
        <x:v>Compatible</x:v>
      </x:c>
      <x:c r="G39" s="15" t="str">
        <x:v>Manual/no complete automatic formula; API returns zero with a configuration warning.</x:v>
      </x:c>
    </x:row>
    <x:row r="40">
      <x:c r="A40" s="15" t="str">
        <x:v>PANNI MH-10</x:v>
      </x:c>
      <x:c r="B40" s="25" t="n">
        <x:v>0</x:v>
      </x:c>
      <x:c r="C40" s="25" t="n">
        <x:v>0</x:v>
      </x:c>
      <x:c r="D40" s="25" t="n">
        <x:v>0</x:v>
      </x:c>
      <x:c r="E40" s="25" t="str">
        <x:f>IF(OR(C40="",D40=""),"",D40-C40)</x:f>
      </x:c>
      <x:c r="F40" s="30" t="str">
        <x:v>Compatible</x:v>
      </x:c>
      <x:c r="G40" s="15" t="str">
        <x:v>Manual/no complete automatic formula; API returns zero with a configuration warning.</x:v>
      </x:c>
    </x:row>
    <x:row r="41">
      <x:c r="A41" s="15" t="str">
        <x:v>SPRING</x:v>
      </x:c>
      <x:c r="B41" s="25" t="n">
        <x:v>68</x:v>
      </x:c>
      <x:c r="C41" s="25" t="n">
        <x:v>0</x:v>
      </x:c>
      <x:c r="D41" s="25" t="n">
        <x:v>0</x:v>
      </x:c>
      <x:c r="E41" s="25" t="str">
        <x:f>IF(OR(C41="",D41=""),"",D41-C41)</x:f>
      </x:c>
      <x:c r="F41" s="30" t="str">
        <x:v>Compatible</x:v>
      </x:c>
      <x:c r="G41" s="15" t="str">
        <x:v>Manual/no complete automatic formula; API returns zero with a configuration warning.</x:v>
      </x:c>
    </x:row>
    <x:row r="42">
      <x:c r="A42" s="15" t="str">
        <x:v>RIVET</x:v>
      </x:c>
      <x:c r="B42" s="25" t="n">
        <x:v>31</x:v>
      </x:c>
      <x:c r="C42" s="25" t="n">
        <x:v>0</x:v>
      </x:c>
      <x:c r="D42" s="25" t="n">
        <x:v>0</x:v>
      </x:c>
      <x:c r="E42" s="25" t="str">
        <x:f>IF(OR(C42="",D42=""),"",D42-C42)</x:f>
      </x:c>
      <x:c r="F42" s="30" t="str">
        <x:v>Compatible</x:v>
      </x:c>
      <x:c r="G42" s="15" t="str">
        <x:v>Manual/no complete automatic formula; API returns zero with a configuration warning.</x:v>
      </x:c>
    </x:row>
    <x:row r="43">
      <x:c r="A43" s="15" t="str">
        <x:v>HOOK</x:v>
      </x:c>
      <x:c r="B43" s="25" t="n">
        <x:v>89</x:v>
      </x:c>
      <x:c r="C43" s="25" t="n">
        <x:v>0</x:v>
      </x:c>
      <x:c r="D43" s="25" t="n">
        <x:v>0</x:v>
      </x:c>
      <x:c r="E43" s="25" t="str">
        <x:f>IF(OR(C43="",D43=""),"",D43-C43)</x:f>
      </x:c>
      <x:c r="F43" s="30" t="str">
        <x:v>Compatible</x:v>
      </x:c>
      <x:c r="G43" s="15" t="str">
        <x:v>Manual/no complete automatic formula; API returns zero with a configuration warning.</x:v>
      </x:c>
    </x:row>
    <x:row r="44">
      <x:c r="A44" s="15" t="str">
        <x:v>ORA SPRING</x:v>
      </x:c>
      <x:c r="B44" s="25"/>
      <x:c r="C44" s="25" t="n">
        <x:v>0</x:v>
      </x:c>
      <x:c r="D44" s="25" t="n">
        <x:v>0</x:v>
      </x:c>
      <x:c r="E44" s="25" t="str">
        <x:f>IF(OR(C44="",D44=""),"",D44-C44)</x:f>
      </x:c>
      <x:c r="F44" s="30" t="str">
        <x:v>Compatible</x:v>
      </x:c>
      <x:c r="G44" s="15" t="str">
        <x:v>Manual/no complete automatic formula; API returns zero with a configuration warning.</x:v>
      </x:c>
    </x:row>
    <x:row r="45">
      <x:c r="A45" s="15" t="str">
        <x:v>CONTAINER PANNI</x:v>
      </x:c>
      <x:c r="B45" s="25" t="n">
        <x:v>0</x:v>
      </x:c>
      <x:c r="C45" s="25" t="n">
        <x:v>0</x:v>
      </x:c>
      <x:c r="D45" s="25" t="n">
        <x:v>0</x:v>
      </x:c>
      <x:c r="E45" s="25" t="str">
        <x:f>IF(OR(C45="",D45=""),"",D45-C45)</x:f>
      </x:c>
      <x:c r="F45" s="30" t="str">
        <x:v>Compatible</x:v>
      </x:c>
      <x:c r="G45" s="15" t="str">
        <x:v>Manual/no complete automatic formula; API returns zero with a configuration warning.</x:v>
      </x:c>
    </x:row>
    <x:row r="46">
      <x:c r="A46" s="15" t="str">
        <x:v>OUTER BOX</x:v>
      </x:c>
      <x:c r="B46" s="25" t="n">
        <x:v>0</x:v>
      </x:c>
      <x:c r="C46" s="25" t="n">
        <x:v>0</x:v>
      </x:c>
      <x:c r="D46" s="25" t="n">
        <x:v>0</x:v>
      </x:c>
      <x:c r="E46" s="25" t="str">
        <x:f>IF(OR(C46="",D46=""),"",D46-C46)</x:f>
      </x:c>
      <x:c r="F46" s="30" t="str">
        <x:v>Compatible</x:v>
      </x:c>
      <x:c r="G46" s="15" t="str">
        <x:v>Manual/no complete automatic formula; API returns zero with a configuration warning.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92" hidden="0" customWidth="1"/>
  </x:cols>
  <x:sheetData>
    <x:row r="1" ht="28" customHeight="1">
      <x:c r="A1" s="14" t="str">
        <x:v>Migration Assumptions and Decisions</x:v>
      </x:c>
      <x:c r="B1" s="15"/>
      <x:c r="C1" s="15"/>
    </x:row>
    <x:row r="2" ht="30" customHeight="1">
      <x:c r="A2" s="16" t="str">
        <x:v>These are explicit implementation decisions. Review them before creating or mapping production Items.</x:v>
      </x:c>
      <x:c r="B2" s="15"/>
      <x:c r="C2" s="15"/>
    </x:row>
    <x:row r="3" ht="24" customHeight="1">
      <x:c r="A3" s="17" t="str">
        <x:v>Area</x:v>
      </x:c>
      <x:c r="B3" s="17" t="str">
        <x:v>Decision</x:v>
      </x:c>
      <x:c r="C3" s="17" t="str">
        <x:v>Detail</x:v>
      </x:c>
    </x:row>
    <x:row r="4" ht="38" customHeight="1">
      <x:c r="A4" s="15" t="str">
        <x:v>Scope</x:v>
      </x:c>
      <x:c r="B4" s="15" t="str">
        <x:v>Included sheets</x:v>
      </x:c>
      <x:c r="C4" s="15" t="str">
        <x:v>30 DAYSALE, STOCK, ADU, LEAD TIME, OUTPUT</x:v>
      </x:c>
    </x:row>
    <x:row r="5" ht="38" customHeight="1">
      <x:c r="A5" s="15" t="str">
        <x:v>Scope</x:v>
      </x:c>
      <x:c r="B5" s="15" t="str">
        <x:v>Excluded sheets/data</x:v>
      </x:c>
      <x:c r="C5" s="15" t="str">
        <x:v>WHITE BOX DATA, open orders 1–3, inbound stock, purchase-order workflows</x:v>
      </x:c>
    </x:row>
    <x:row r="6" ht="38" customHeight="1">
      <x:c r="A6" s="15" t="str">
        <x:v>Channel</x:v>
      </x:c>
      <x:c r="B6" s="15" t="str">
        <x:v>INS meaning</x:v>
      </x:c>
      <x:c r="C6" s="15" t="str">
        <x:v>Instamart (never Instagram)</x:v>
      </x:c>
    </x:row>
    <x:row r="7" ht="38" customHeight="1">
      <x:c r="A7" s="15" t="str">
        <x:v>Inventory</x:v>
      </x:c>
      <x:c r="B7" s="15" t="str">
        <x:v>Authoritative balance</x:v>
      </x:c>
      <x:c r="C7" s="15" t="str">
        <x:v>Global Items.CurrentStock. ReservedStock, open orders, inbound stock, and helper/random values are excluded.</x:v>
      </x:c>
    </x:row>
    <x:row r="8" ht="38" customHeight="1">
      <x:c r="A8" s="15" t="str">
        <x:v>Item master</x:v>
      </x:c>
      <x:c r="B8" s="15" t="str">
        <x:v>Migration behavior</x:v>
      </x:c>
      <x:c r="C8" s="15" t="str">
        <x:v>No Items were auto-created. The staging database contained one unrelated Item (xyz); every workbook name remains Unmatched.</x:v>
      </x:c>
    </x:row>
    <x:row r="9" ht="38" customHeight="1">
      <x:c r="A9" s="15" t="str">
        <x:v>Item type</x:v>
      </x:c>
      <x:c r="B9" s="15" t="str">
        <x:v>Backward compatibility</x:v>
      </x:c>
      <x:c r="C9" s="15" t="str">
        <x:v>ProcurementClassification is nullable and independent of existing Product/Service ItemType behavior.</x:v>
      </x:c>
    </x:row>
    <x:row r="10" ht="38" customHeight="1">
      <x:c r="A10" s="15" t="str">
        <x:v>Planning period</x:v>
      </x:c>
      <x:c r="B10" s="15" t="str">
        <x:v>Default UI behavior</x:v>
      </x:c>
      <x:c r="C10" s="15" t="str">
        <x:v>Last 30 calendar days; API accepts any validated inclusive range up to 366 days.</x:v>
      </x:c>
    </x:row>
    <x:row r="11" ht="38" customHeight="1">
      <x:c r="A11" s="15" t="str">
        <x:v>Lead time</x:v>
      </x:c>
      <x:c r="B11" s="15" t="str">
        <x:v>Precedence</x:v>
      </x:c>
      <x:c r="C11" s="15" t="str">
        <x:v>Explicit override, then average receipt history, then configured lead time.</x:v>
      </x:c>
    </x:row>
    <x:row r="12" ht="38" customHeight="1">
      <x:c r="A12" s="15" t="str">
        <x:v>Safety stock</x:v>
      </x:c>
      <x:c r="B12" s="15" t="str">
        <x:v>Formula</x:v>
      </x:c>
      <x:c r="C12" s="15" t="str">
        <x:v>Material requirement × Safety factor.</x:v>
      </x:c>
    </x:row>
    <x:row r="13" ht="38" customHeight="1">
      <x:c r="A13" s="15" t="str">
        <x:v>Reorder point</x:v>
      </x:c>
      <x:c r="B13" s="15" t="str">
        <x:v>Formula</x:v>
      </x:c>
      <x:c r="C13" s="15" t="str">
        <x:v>Average daily usage × effective lead-time days + safety stock.</x:v>
      </x:c>
    </x:row>
    <x:row r="14" ht="38" customHeight="1">
      <x:c r="A14" s="15" t="str">
        <x:v>Purchase suggestion</x:v>
      </x:c>
      <x:c r="B14" s="15" t="str">
        <x:v>Formula</x:v>
      </x:c>
      <x:c r="C14" s="15" t="str">
        <x:v>If physical stock &gt; reorder point: 0; otherwise max(reorder point − stock, MOQ), optionally rounded up to OrderMultiple.</x:v>
      </x:c>
    </x:row>
    <x:row r="15" ht="38" customHeight="1">
      <x:c r="A15" s="15" t="str">
        <x:v>Boundary</x:v>
      </x:c>
      <x:c r="B15" s="15" t="str">
        <x:v>Stock equals reorder</x:v>
      </x:c>
      <x:c r="C15" s="15" t="str">
        <x:v>Uses the non-zero branch because the workbook/API rule is strict greater-than.</x:v>
      </x:c>
    </x:row>
    <x:row r="16" ht="38" customHeight="1">
      <x:c r="A16" s="15" t="str">
        <x:v>Manual materials</x:v>
      </x:c>
      <x:c r="B16" s="15" t="str">
        <x:v>Behavior</x:v>
      </x:c>
      <x:c r="C16" s="15" t="str">
        <x:v>Materials without a complete BOM-derived requirement or complete settings remain visible with warnings and zero automatic suggestion.</x:v>
      </x:c>
    </x:row>
    <x:row r="17" ht="38" customHeight="1">
      <x:c r="A17" s="15" t="str">
        <x:v>Saved runs</x:v>
      </x:c>
      <x:c r="B17" s="15" t="str">
        <x:v>Audit/history</x:v>
      </x:c>
      <x:c r="C17" s="15" t="str">
        <x:v>Every run stores immutable calculation inputs/results. Draft final quantities may be changed only with a reason; finalized runs cannot be edited.</x:v>
      </x:c>
    </x:row>
    <x:row r="18" ht="38" customHeight="1">
      <x:c r="A18" s="15" t="str">
        <x:v>Workbook defect</x:v>
      </x:c>
      <x:c r="B18" s="15" t="str">
        <x:v>Helper stock</x:v>
      </x:c>
      <x:c r="C18" s="15" t="str">
        <x:v>ADU/OUTPUT often reference STOCK column G (a helper/random value), not STOCK column B physical current stock.</x:v>
      </x:c>
    </x:row>
    <x:row r="19" ht="38" customHeight="1">
      <x:c r="A19" s="15" t="str">
        <x:v>Workbook defect</x:v>
      </x:c>
      <x:c r="B19" s="15" t="str">
        <x:v>Row references</x:v>
      </x:c>
      <x:c r="C19" s="15" t="str">
        <x:v>Several box/output rows are shifted or duplicated. Migration matches by explicit material/product name and does not preserve incorrect row offsets.</x:v>
      </x:c>
    </x:row>
    <x:row r="20" ht="38" customHeight="1">
      <x:c r="A20" s="15" t="str">
        <x:v>Dependent formulas</x:v>
      </x:c>
      <x:c r="B20" s="15" t="str">
        <x:v>Spring/rivet</x:v>
      </x:c>
      <x:c r="C20" s="15" t="str">
        <x:v>15% and 5% of rainbow material were flattened into finished-product BOM coefficients.</x:v>
      </x:c>
    </x:row>
  </x:sheetData>
  <x:mergeCells>
    <x:mergeCell ref="A1:D1"/>
    <x:mergeCell ref="A2:D2"/>
  </x:mergeCells>
  <x:pageMargins left="0.7" right="0.7" top="0.75" bottom="0.75" header="0.3" footer="0.3"/>
</x:worksheet>
</file>